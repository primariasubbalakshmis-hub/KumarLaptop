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ss\Desktop\"/>
    </mc:Choice>
  </mc:AlternateContent>
  <bookViews>
    <workbookView xWindow="0" yWindow="0" windowWidth="19200" windowHeight="6930"/>
  </bookViews>
  <sheets>
    <sheet name="Proforma Invoice" sheetId="3" r:id="rId1"/>
  </sheets>
  <definedNames>
    <definedName name="_xlnm.Print_Area" localSheetId="0">'Proforma Invoice'!$A$1:$I$111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3" l="1"/>
  <c r="I34" i="3"/>
  <c r="I42" i="3"/>
  <c r="I44" i="3"/>
  <c r="I66" i="3"/>
  <c r="I74" i="3"/>
  <c r="G73" i="3"/>
  <c r="H73" i="3" s="1"/>
  <c r="E73" i="3"/>
  <c r="G72" i="3"/>
  <c r="H72" i="3" s="1"/>
  <c r="E72" i="3"/>
  <c r="I72" i="3" s="1"/>
  <c r="G71" i="3"/>
  <c r="H71" i="3" s="1"/>
  <c r="E71" i="3"/>
  <c r="I71" i="3" s="1"/>
  <c r="G70" i="3"/>
  <c r="H70" i="3" s="1"/>
  <c r="E70" i="3"/>
  <c r="G69" i="3"/>
  <c r="H69" i="3" s="1"/>
  <c r="E69" i="3"/>
  <c r="G68" i="3"/>
  <c r="H68" i="3" s="1"/>
  <c r="E68" i="3"/>
  <c r="I68" i="3" s="1"/>
  <c r="G67" i="3"/>
  <c r="H67" i="3" s="1"/>
  <c r="I67" i="3" s="1"/>
  <c r="E41" i="3"/>
  <c r="E40" i="3"/>
  <c r="E39" i="3"/>
  <c r="E38" i="3"/>
  <c r="E37" i="3"/>
  <c r="E36" i="3"/>
  <c r="G61" i="3"/>
  <c r="H61" i="3" s="1"/>
  <c r="I61" i="3" s="1"/>
  <c r="G62" i="3"/>
  <c r="H62" i="3" s="1"/>
  <c r="I62" i="3" s="1"/>
  <c r="G63" i="3"/>
  <c r="H63" i="3" s="1"/>
  <c r="I63" i="3" s="1"/>
  <c r="G64" i="3"/>
  <c r="H64" i="3" s="1"/>
  <c r="G65" i="3"/>
  <c r="H65" i="3" s="1"/>
  <c r="I65" i="3" s="1"/>
  <c r="E56" i="3"/>
  <c r="E57" i="3"/>
  <c r="E58" i="3"/>
  <c r="E59" i="3"/>
  <c r="E60" i="3"/>
  <c r="E62" i="3"/>
  <c r="E63" i="3"/>
  <c r="E64" i="3"/>
  <c r="E53" i="3"/>
  <c r="E50" i="3"/>
  <c r="G54" i="3"/>
  <c r="H54" i="3" s="1"/>
  <c r="I54" i="3" s="1"/>
  <c r="G55" i="3"/>
  <c r="H55" i="3" s="1"/>
  <c r="I55" i="3" s="1"/>
  <c r="G56" i="3"/>
  <c r="H56" i="3" s="1"/>
  <c r="G57" i="3"/>
  <c r="H57" i="3" s="1"/>
  <c r="G58" i="3"/>
  <c r="H58" i="3" s="1"/>
  <c r="G59" i="3"/>
  <c r="H59" i="3" s="1"/>
  <c r="G60" i="3"/>
  <c r="H60" i="3" s="1"/>
  <c r="G51" i="3"/>
  <c r="G52" i="3"/>
  <c r="G53" i="3"/>
  <c r="G76" i="3"/>
  <c r="G77" i="3"/>
  <c r="G78" i="3"/>
  <c r="G79" i="3"/>
  <c r="G80" i="3"/>
  <c r="G81" i="3"/>
  <c r="G82" i="3"/>
  <c r="G83" i="3"/>
  <c r="G84" i="3"/>
  <c r="G85" i="3"/>
  <c r="G75" i="3"/>
  <c r="G88" i="3"/>
  <c r="G89" i="3"/>
  <c r="G90" i="3"/>
  <c r="G91" i="3"/>
  <c r="G92" i="3"/>
  <c r="G93" i="3"/>
  <c r="G94" i="3"/>
  <c r="G95" i="3"/>
  <c r="G96" i="3"/>
  <c r="G97" i="3"/>
  <c r="G98" i="3"/>
  <c r="G99" i="3"/>
  <c r="G87" i="3"/>
  <c r="G50" i="3"/>
  <c r="G48" i="3"/>
  <c r="G47" i="3"/>
  <c r="G46" i="3"/>
  <c r="G45" i="3"/>
  <c r="G43" i="3"/>
  <c r="G41" i="3"/>
  <c r="G40" i="3"/>
  <c r="G39" i="3"/>
  <c r="G38" i="3"/>
  <c r="G37" i="3"/>
  <c r="G36" i="3"/>
  <c r="G35" i="3"/>
  <c r="G33" i="3"/>
  <c r="G32" i="3"/>
  <c r="G31" i="3"/>
  <c r="G30" i="3"/>
  <c r="G29" i="3"/>
  <c r="G28" i="3"/>
  <c r="G27" i="3"/>
  <c r="G24" i="3"/>
  <c r="G23" i="3"/>
  <c r="G22" i="3"/>
  <c r="G21" i="3"/>
  <c r="G20" i="3"/>
  <c r="G19" i="3"/>
  <c r="G18" i="3"/>
  <c r="I58" i="3" l="1"/>
  <c r="I69" i="3"/>
  <c r="I73" i="3"/>
  <c r="I60" i="3"/>
  <c r="I70" i="3"/>
  <c r="I59" i="3"/>
  <c r="I57" i="3"/>
  <c r="I56" i="3"/>
  <c r="I64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5" i="3"/>
  <c r="H84" i="3"/>
  <c r="H83" i="3"/>
  <c r="H82" i="3"/>
  <c r="H81" i="3"/>
  <c r="H80" i="3"/>
  <c r="H79" i="3"/>
  <c r="H78" i="3"/>
  <c r="H77" i="3"/>
  <c r="H76" i="3"/>
  <c r="H86" i="3"/>
  <c r="I86" i="3" s="1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I87" i="3" s="1"/>
  <c r="E85" i="3"/>
  <c r="I85" i="3" s="1"/>
  <c r="E84" i="3"/>
  <c r="I84" i="3" s="1"/>
  <c r="E83" i="3"/>
  <c r="E82" i="3"/>
  <c r="E81" i="3"/>
  <c r="E80" i="3"/>
  <c r="E79" i="3"/>
  <c r="E78" i="3"/>
  <c r="E77" i="3"/>
  <c r="E76" i="3"/>
  <c r="E75" i="3"/>
  <c r="E52" i="3"/>
  <c r="E51" i="3"/>
  <c r="E48" i="3"/>
  <c r="E47" i="3"/>
  <c r="I47" i="3" s="1"/>
  <c r="E46" i="3"/>
  <c r="I46" i="3" s="1"/>
  <c r="E45" i="3"/>
  <c r="I45" i="3" s="1"/>
  <c r="E43" i="3"/>
  <c r="I43" i="3" s="1"/>
  <c r="H53" i="3"/>
  <c r="I53" i="3" s="1"/>
  <c r="H52" i="3"/>
  <c r="H51" i="3"/>
  <c r="H50" i="3"/>
  <c r="I50" i="3" s="1"/>
  <c r="H49" i="3"/>
  <c r="I49" i="3" s="1"/>
  <c r="H48" i="3"/>
  <c r="H47" i="3"/>
  <c r="H46" i="3"/>
  <c r="H45" i="3"/>
  <c r="H43" i="3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3" i="3"/>
  <c r="H32" i="3"/>
  <c r="H31" i="3"/>
  <c r="H30" i="3"/>
  <c r="H29" i="3"/>
  <c r="H28" i="3"/>
  <c r="H27" i="3"/>
  <c r="I27" i="3" s="1"/>
  <c r="H24" i="3"/>
  <c r="H23" i="3"/>
  <c r="H22" i="3"/>
  <c r="H21" i="3"/>
  <c r="H20" i="3"/>
  <c r="H19" i="3"/>
  <c r="E19" i="3"/>
  <c r="I19" i="3" l="1"/>
  <c r="I89" i="3"/>
  <c r="I51" i="3"/>
  <c r="I52" i="3"/>
  <c r="I48" i="3"/>
  <c r="I90" i="3"/>
  <c r="I91" i="3"/>
  <c r="I92" i="3"/>
  <c r="I88" i="3"/>
  <c r="I76" i="3"/>
  <c r="I78" i="3"/>
  <c r="I95" i="3"/>
  <c r="I79" i="3"/>
  <c r="I96" i="3"/>
  <c r="I80" i="3"/>
  <c r="I97" i="3"/>
  <c r="I81" i="3"/>
  <c r="I98" i="3"/>
  <c r="I93" i="3"/>
  <c r="I77" i="3"/>
  <c r="I94" i="3"/>
  <c r="I82" i="3"/>
  <c r="I99" i="3"/>
  <c r="I83" i="3"/>
  <c r="H18" i="3"/>
  <c r="E33" i="3" l="1"/>
  <c r="I33" i="3" s="1"/>
  <c r="E32" i="3"/>
  <c r="I32" i="3" s="1"/>
  <c r="E31" i="3"/>
  <c r="I31" i="3" s="1"/>
  <c r="E30" i="3"/>
  <c r="I30" i="3" s="1"/>
  <c r="E29" i="3"/>
  <c r="I29" i="3" s="1"/>
  <c r="E28" i="3"/>
  <c r="I28" i="3" s="1"/>
  <c r="E24" i="3"/>
  <c r="I24" i="3" s="1"/>
  <c r="E23" i="3"/>
  <c r="I23" i="3" s="1"/>
  <c r="E22" i="3"/>
  <c r="I22" i="3" s="1"/>
  <c r="E21" i="3"/>
  <c r="I21" i="3" s="1"/>
  <c r="E20" i="3"/>
  <c r="I18" i="3"/>
  <c r="I20" i="3" l="1"/>
  <c r="E100" i="3"/>
  <c r="A18" i="3"/>
  <c r="A19" i="3" s="1"/>
  <c r="A20" i="3" s="1"/>
  <c r="A21" i="3" s="1"/>
  <c r="A22" i="3" s="1"/>
  <c r="A23" i="3" s="1"/>
  <c r="A24" i="3" s="1"/>
  <c r="A27" i="3" s="1"/>
  <c r="A28" i="3" s="1"/>
  <c r="A29" i="3" s="1"/>
  <c r="A30" i="3" s="1"/>
  <c r="A31" i="3" s="1"/>
  <c r="A32" i="3" s="1"/>
  <c r="A33" i="3" s="1"/>
  <c r="A35" i="3" s="1"/>
  <c r="A36" i="3" s="1"/>
  <c r="A37" i="3" s="1"/>
  <c r="A38" i="3" s="1"/>
  <c r="A39" i="3" s="1"/>
  <c r="A40" i="3" s="1"/>
  <c r="A41" i="3" s="1"/>
  <c r="A43" i="3" s="1"/>
  <c r="A45" i="3" s="1"/>
  <c r="A46" i="3" s="1"/>
  <c r="A47" i="3" s="1"/>
  <c r="A48" i="3" s="1"/>
  <c r="H75" i="3"/>
  <c r="I75" i="3" s="1"/>
  <c r="A50" i="3" l="1"/>
  <c r="A51" i="3" s="1"/>
  <c r="A52" i="3" s="1"/>
  <c r="A53" i="3" s="1"/>
  <c r="A55" i="3" s="1"/>
  <c r="A56" i="3" s="1"/>
  <c r="A57" i="3" s="1"/>
  <c r="A58" i="3" s="1"/>
  <c r="A59" i="3" s="1"/>
  <c r="A60" i="3" s="1"/>
  <c r="A62" i="3" s="1"/>
  <c r="A63" i="3" s="1"/>
  <c r="A64" i="3" s="1"/>
  <c r="A65" i="3" s="1"/>
  <c r="A67" i="3" s="1"/>
  <c r="A69" i="3" s="1"/>
  <c r="A70" i="3" l="1"/>
  <c r="A71" i="3"/>
  <c r="A72" i="3" s="1"/>
  <c r="A73" i="3" s="1"/>
  <c r="A75" i="3" l="1"/>
  <c r="A76" i="3" l="1"/>
  <c r="A77" i="3" s="1"/>
  <c r="A78" i="3" s="1"/>
  <c r="A79" i="3" s="1"/>
  <c r="A80" i="3" s="1"/>
  <c r="A81" i="3" s="1"/>
  <c r="A82" i="3" s="1"/>
  <c r="A83" i="3" s="1"/>
  <c r="A84" i="3" s="1"/>
  <c r="A85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</calcChain>
</file>

<file path=xl/sharedStrings.xml><?xml version="1.0" encoding="utf-8"?>
<sst xmlns="http://schemas.openxmlformats.org/spreadsheetml/2006/main" count="120" uniqueCount="108">
  <si>
    <t>Flexer EU 19mm MX</t>
  </si>
  <si>
    <t>Flexer Hybrid</t>
  </si>
  <si>
    <t>Flexer Trio</t>
  </si>
  <si>
    <t>MD K-Files NiTi</t>
  </si>
  <si>
    <t>MD K-Files Stainless Steel</t>
  </si>
  <si>
    <t>Grand Total</t>
  </si>
  <si>
    <t>21MM</t>
  </si>
  <si>
    <t>25MM</t>
  </si>
  <si>
    <t>Total Qty</t>
  </si>
  <si>
    <t>Flexer Engine Used</t>
  </si>
  <si>
    <t>S.No</t>
  </si>
  <si>
    <t xml:space="preserve">MD K-Files SS #30 </t>
  </si>
  <si>
    <t xml:space="preserve">MD K-Files SS #35 </t>
  </si>
  <si>
    <t xml:space="preserve">MD K-Files SS #40 </t>
  </si>
  <si>
    <t xml:space="preserve">MD K-Files SS #55 </t>
  </si>
  <si>
    <t xml:space="preserve">MD K-Files SS #60 </t>
  </si>
  <si>
    <t xml:space="preserve">MD K-Files SS #(45-80) </t>
  </si>
  <si>
    <t>Flexer EU-H1-H6</t>
  </si>
  <si>
    <t>MD K-Files NiTi #6</t>
  </si>
  <si>
    <t>MD K-Files NiTi #8</t>
  </si>
  <si>
    <t>MD K-Files NiTi #10</t>
  </si>
  <si>
    <t>MD K-Files NiTi #15</t>
  </si>
  <si>
    <t>MD K-Files NiTi #20</t>
  </si>
  <si>
    <t>MD K-Files NiTi #25</t>
  </si>
  <si>
    <t>MD K-Files NiTi #30</t>
  </si>
  <si>
    <t>MD K-Files NiTi #35</t>
  </si>
  <si>
    <t>MD K-Files NiTi #40</t>
  </si>
  <si>
    <t>MD K-Files NiTi #(15-40)</t>
  </si>
  <si>
    <t>MD K-Files NiTi #(45-80)</t>
  </si>
  <si>
    <t>MD K-Files SS #6</t>
  </si>
  <si>
    <t>MD K-Files SS #8</t>
  </si>
  <si>
    <t>MD K-Files SS #10</t>
  </si>
  <si>
    <t>MD K-Files SS #15</t>
  </si>
  <si>
    <t>MD K-Files SS #20</t>
  </si>
  <si>
    <t>MD K-Files SS #25</t>
  </si>
  <si>
    <t>MD K-Files SS #(15-40)</t>
  </si>
  <si>
    <t xml:space="preserve">Flexer EU-T1-T3 </t>
  </si>
  <si>
    <t>Gross Total</t>
  </si>
  <si>
    <t>Rate</t>
  </si>
  <si>
    <t>Account Deails:</t>
  </si>
  <si>
    <t xml:space="preserve">                                              Purchase Manager</t>
  </si>
  <si>
    <t>Total</t>
  </si>
  <si>
    <t>Freight Charges</t>
  </si>
  <si>
    <t>Amount in Words : INR</t>
  </si>
  <si>
    <t>Product Name</t>
  </si>
  <si>
    <t>Flexer EU MX-C3</t>
  </si>
  <si>
    <t>Flexer K-16mm #15</t>
  </si>
  <si>
    <t>Flexer K-16mm #20</t>
  </si>
  <si>
    <t>Flexer K-16mm #25</t>
  </si>
  <si>
    <t>Flexer K-16mm #15-25</t>
  </si>
  <si>
    <t>Name:</t>
  </si>
  <si>
    <t>Mothers Medica Private Limited,</t>
  </si>
  <si>
    <t>7/11, MGR Salai, Nagelkeni, Pammal, Chromepet, Chennai-44</t>
  </si>
  <si>
    <t>Contact No.: 73050-22434: 9940834222; 70944-18000</t>
  </si>
  <si>
    <t>Flexer PEDO (K-Files)</t>
  </si>
  <si>
    <t xml:space="preserve">Account Name : </t>
  </si>
  <si>
    <t xml:space="preserve">Account Number:                                   Account Type: </t>
  </si>
  <si>
    <t xml:space="preserve">Bank Name :                                             Branch: </t>
  </si>
  <si>
    <t xml:space="preserve">IFSC Code : </t>
  </si>
  <si>
    <t>Primaria Healthcare Pvt Ltd ,</t>
  </si>
  <si>
    <t>GST 5%</t>
  </si>
  <si>
    <t>Kothapet Opposite Doctor Plaza, Guntur- 522001, AP</t>
  </si>
  <si>
    <t xml:space="preserve">                                        Flexer Pro </t>
  </si>
  <si>
    <t>Flexer EU-Px -P4</t>
  </si>
  <si>
    <t>Flexer EU R1-R3</t>
  </si>
  <si>
    <t>Flexer EU-P1 #16 0.04</t>
  </si>
  <si>
    <t>Flexer EU-P2 #20 0.04</t>
  </si>
  <si>
    <t>Flexer EU-P3 #20 0.06</t>
  </si>
  <si>
    <t>Flexer EU-P4 #25 0.07</t>
  </si>
  <si>
    <t>Flexer EU-Px #19  0.04</t>
  </si>
  <si>
    <t>Flexer EU R1 #30 0.09</t>
  </si>
  <si>
    <t>Flexer EU R2 #25 0.08</t>
  </si>
  <si>
    <t>Flexer EU R3 #20 0.07</t>
  </si>
  <si>
    <t>Flexer EU M2 #18 0.02</t>
  </si>
  <si>
    <t>Flexer EU M1  #19 0.04</t>
  </si>
  <si>
    <t>Flexer EU C1  #20 0.04</t>
  </si>
  <si>
    <t>Flexer EU C2 #20 0.07</t>
  </si>
  <si>
    <t>Flexer EU C3  #25 0.08</t>
  </si>
  <si>
    <t>Flexer EU-H1 #15 0.04</t>
  </si>
  <si>
    <t>Flexer EU-H2 #20 0.04</t>
  </si>
  <si>
    <t>Flexer EU-H3 #25 0.04</t>
  </si>
  <si>
    <t>Flexer EU-H4 #30 0.04</t>
  </si>
  <si>
    <t>Flexer EU-H5 #35 0.04</t>
  </si>
  <si>
    <t>Flexer EU-H6 #40 0.04</t>
  </si>
  <si>
    <t>Flexer EU-T2 #25 0.06</t>
  </si>
  <si>
    <t>Flexer EU-T1  #17 0.04</t>
  </si>
  <si>
    <t>Flexer EU-T3 #30 0.07</t>
  </si>
  <si>
    <t xml:space="preserve">                       For   Primaria Healthcare Pvt Ltd </t>
  </si>
  <si>
    <t>Email id : afrozs@primariahealthcare.com</t>
  </si>
  <si>
    <t>Contact no :  +91 8121222570</t>
  </si>
  <si>
    <r>
      <t>Address:</t>
    </r>
    <r>
      <rPr>
        <sz val="11"/>
        <color theme="1"/>
        <rFont val="Calibri"/>
        <family val="2"/>
        <scheme val="minor"/>
      </rPr>
      <t xml:space="preserve"> </t>
    </r>
  </si>
  <si>
    <r>
      <t>Reference:</t>
    </r>
    <r>
      <rPr>
        <sz val="11"/>
        <color theme="1"/>
        <rFont val="Calibri"/>
        <family val="2"/>
        <scheme val="minor"/>
      </rPr>
      <t xml:space="preserve"> Mr. Aatiq / Suhirthana Karthik</t>
    </r>
  </si>
  <si>
    <r>
      <t>Mobile:</t>
    </r>
    <r>
      <rPr>
        <sz val="11"/>
        <color theme="1"/>
        <rFont val="Calibri"/>
        <family val="2"/>
        <scheme val="minor"/>
      </rPr>
      <t xml:space="preserve"> +91 73050-22434 /91500-12867</t>
    </r>
  </si>
  <si>
    <r>
      <t xml:space="preserve">   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0070C0"/>
        <rFont val="Calibri"/>
        <family val="2"/>
        <scheme val="minor"/>
      </rPr>
      <t xml:space="preserve">                Flexer Pro Recore </t>
    </r>
  </si>
  <si>
    <t>Flexer EU-H1 #15 0.06</t>
  </si>
  <si>
    <t>Flexer EU-H2 #20 0.06</t>
  </si>
  <si>
    <t>Flexer EU-H3 #25 0.06</t>
  </si>
  <si>
    <t>Flexer EU-H4 #30 0.06</t>
  </si>
  <si>
    <t>Flexer EU-H5 #35 0.06</t>
  </si>
  <si>
    <t>Flexer EU-H6 #40 0.06</t>
  </si>
  <si>
    <t xml:space="preserve">Flexer EU-H1-H6    </t>
  </si>
  <si>
    <t>100</t>
  </si>
  <si>
    <t>50</t>
  </si>
  <si>
    <t>200</t>
  </si>
  <si>
    <t>Flexer Path file</t>
  </si>
  <si>
    <t>Flexer path file p1-p3</t>
  </si>
  <si>
    <t>Flexer Engine Used(Dual Color)</t>
  </si>
  <si>
    <t>Date: 17th October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</si>
</sst>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4F81BD"/>
      <name val="Calibri"/>
      <family val="2"/>
      <scheme val="minor"/>
    </font>
    <font>
      <b/>
      <sz val="14"/>
      <color rgb="FF4F81BD"/>
      <name val="Calibri"/>
      <family val="2"/>
      <scheme val="minor"/>
    </font>
    <font>
      <b/>
      <sz val="18"/>
      <color rgb="FF4F81BD"/>
      <name val="Calibri"/>
      <family val="2"/>
      <scheme val="minor"/>
    </font>
    <font>
      <sz val="9"/>
      <color rgb="FF595959"/>
      <name val="Calibri"/>
      <family val="2"/>
      <scheme val="minor"/>
    </font>
    <font>
      <b/>
      <u/>
      <sz val="14"/>
      <color rgb="FF4F81BD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b/>
      <u/>
      <sz val="11"/>
      <color rgb="FF2E75B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</cellStyleXfs>
  <cellXfs count="97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5" xfId="2" applyFont="1" applyBorder="1" applyAlignment="1">
      <alignment vertical="center"/>
    </xf>
    <xf numFmtId="0" fontId="2" fillId="0" borderId="11" xfId="0" applyFont="1" applyBorder="1"/>
    <xf numFmtId="0" fontId="2" fillId="0" borderId="13" xfId="0" applyFont="1" applyBorder="1"/>
    <xf numFmtId="0" fontId="2" fillId="0" borderId="12" xfId="0" applyFont="1" applyBorder="1" applyAlignment="1">
      <alignment horizontal="left"/>
    </xf>
    <xf numFmtId="0" fontId="2" fillId="0" borderId="12" xfId="0" applyFont="1" applyBorder="1"/>
    <xf numFmtId="0" fontId="6" fillId="0" borderId="17" xfId="0" applyFont="1" applyBorder="1"/>
    <xf numFmtId="0" fontId="2" fillId="0" borderId="18" xfId="0" applyFont="1" applyBorder="1"/>
    <xf numFmtId="0" fontId="9" fillId="0" borderId="1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8" fillId="0" borderId="16" xfId="0" applyFont="1" applyBorder="1"/>
    <xf numFmtId="43" fontId="2" fillId="0" borderId="13" xfId="0" applyNumberFormat="1" applyFont="1" applyBorder="1"/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10" xfId="0" applyBorder="1"/>
    <xf numFmtId="43" fontId="0" fillId="0" borderId="10" xfId="1" applyFont="1" applyBorder="1"/>
    <xf numFmtId="0" fontId="10" fillId="0" borderId="13" xfId="0" applyFont="1" applyBorder="1" applyAlignment="1">
      <alignment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0" borderId="12" xfId="0" applyFont="1" applyBorder="1" applyAlignment="1">
      <alignment vertical="center"/>
    </xf>
    <xf numFmtId="49" fontId="0" fillId="0" borderId="12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0" fontId="0" fillId="0" borderId="14" xfId="0" applyBorder="1"/>
    <xf numFmtId="0" fontId="0" fillId="0" borderId="5" xfId="0" applyBorder="1"/>
    <xf numFmtId="49" fontId="14" fillId="0" borderId="6" xfId="0" applyNumberFormat="1" applyFont="1" applyBorder="1" applyAlignment="1">
      <alignment horizontal="center" vertical="top"/>
    </xf>
    <xf numFmtId="49" fontId="14" fillId="0" borderId="1" xfId="0" applyNumberFormat="1" applyFont="1" applyBorder="1" applyAlignment="1">
      <alignment horizontal="center" vertical="top"/>
    </xf>
    <xf numFmtId="43" fontId="14" fillId="0" borderId="1" xfId="1" applyFont="1" applyBorder="1" applyAlignment="1">
      <alignment horizontal="center" vertical="top"/>
    </xf>
    <xf numFmtId="49" fontId="14" fillId="0" borderId="7" xfId="0" applyNumberFormat="1" applyFont="1" applyBorder="1" applyAlignment="1">
      <alignment horizontal="center" vertical="top"/>
    </xf>
    <xf numFmtId="0" fontId="15" fillId="0" borderId="6" xfId="0" applyFont="1" applyBorder="1" applyAlignment="1">
      <alignment horizontal="center"/>
    </xf>
    <xf numFmtId="0" fontId="0" fillId="0" borderId="1" xfId="0" applyBorder="1" applyAlignment="1">
      <alignment horizontal="left" vertical="top" indent="2"/>
    </xf>
    <xf numFmtId="43" fontId="0" fillId="0" borderId="1" xfId="1" applyFont="1" applyBorder="1" applyAlignment="1">
      <alignment horizontal="left" vertical="top" indent="2"/>
    </xf>
    <xf numFmtId="164" fontId="16" fillId="0" borderId="1" xfId="1" applyNumberFormat="1" applyFont="1" applyBorder="1" applyAlignment="1">
      <alignment vertical="top"/>
    </xf>
    <xf numFmtId="43" fontId="17" fillId="0" borderId="7" xfId="1" applyFont="1" applyBorder="1"/>
    <xf numFmtId="0" fontId="18" fillId="0" borderId="6" xfId="0" applyFont="1" applyBorder="1" applyAlignment="1">
      <alignment horizontal="center"/>
    </xf>
    <xf numFmtId="49" fontId="2" fillId="0" borderId="1" xfId="0" applyNumberFormat="1" applyFont="1" applyBorder="1" applyAlignment="1">
      <alignment vertical="top"/>
    </xf>
    <xf numFmtId="43" fontId="2" fillId="0" borderId="1" xfId="1" applyFont="1" applyBorder="1" applyAlignment="1">
      <alignment vertical="top"/>
    </xf>
    <xf numFmtId="164" fontId="17" fillId="0" borderId="1" xfId="1" applyNumberFormat="1" applyFont="1" applyBorder="1" applyAlignment="1">
      <alignment vertical="top"/>
    </xf>
    <xf numFmtId="0" fontId="17" fillId="0" borderId="7" xfId="0" applyFont="1" applyBorder="1"/>
    <xf numFmtId="49" fontId="2" fillId="0" borderId="2" xfId="0" applyNumberFormat="1" applyFont="1" applyBorder="1" applyAlignment="1">
      <alignment horizontal="left" vertical="top"/>
    </xf>
    <xf numFmtId="49" fontId="2" fillId="0" borderId="3" xfId="0" applyNumberFormat="1" applyFont="1" applyBorder="1" applyAlignment="1">
      <alignment horizontal="left" vertical="top"/>
    </xf>
    <xf numFmtId="49" fontId="2" fillId="0" borderId="4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indent="2"/>
    </xf>
    <xf numFmtId="43" fontId="2" fillId="0" borderId="1" xfId="1" applyFont="1" applyBorder="1" applyAlignment="1">
      <alignment horizontal="left" vertical="top" indent="2"/>
    </xf>
    <xf numFmtId="49" fontId="2" fillId="0" borderId="1" xfId="0" applyNumberFormat="1" applyFont="1" applyBorder="1" applyAlignment="1">
      <alignment horizontal="left" vertical="top" indent="2"/>
    </xf>
    <xf numFmtId="49" fontId="2" fillId="0" borderId="1" xfId="0" applyNumberFormat="1" applyFont="1" applyBorder="1" applyAlignment="1">
      <alignment horizontal="left" vertical="top" indent="1"/>
    </xf>
    <xf numFmtId="43" fontId="2" fillId="0" borderId="1" xfId="1" applyFont="1" applyBorder="1" applyAlignment="1">
      <alignment horizontal="left" vertical="top" indent="1"/>
    </xf>
    <xf numFmtId="49" fontId="2" fillId="0" borderId="1" xfId="0" applyNumberFormat="1" applyFont="1" applyBorder="1" applyAlignment="1">
      <alignment horizontal="left" vertical="top"/>
    </xf>
    <xf numFmtId="49" fontId="2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 indent="2"/>
    </xf>
    <xf numFmtId="0" fontId="2" fillId="0" borderId="4" xfId="0" applyFont="1" applyBorder="1" applyAlignment="1">
      <alignment horizontal="left" vertical="top" indent="2"/>
    </xf>
    <xf numFmtId="0" fontId="23" fillId="0" borderId="6" xfId="0" applyFont="1" applyBorder="1" applyAlignment="1">
      <alignment horizontal="center"/>
    </xf>
    <xf numFmtId="164" fontId="25" fillId="0" borderId="1" xfId="1" applyNumberFormat="1" applyFont="1" applyBorder="1" applyAlignment="1">
      <alignment horizontal="center" vertical="top"/>
    </xf>
    <xf numFmtId="43" fontId="25" fillId="0" borderId="1" xfId="1" applyFont="1" applyBorder="1" applyAlignment="1">
      <alignment horizontal="center" vertical="top"/>
    </xf>
    <xf numFmtId="43" fontId="25" fillId="0" borderId="7" xfId="0" applyNumberFormat="1" applyFont="1" applyBorder="1" applyAlignment="1">
      <alignment horizontal="center" vertical="top"/>
    </xf>
    <xf numFmtId="0" fontId="0" fillId="0" borderId="12" xfId="0" applyBorder="1"/>
    <xf numFmtId="43" fontId="0" fillId="0" borderId="0" xfId="1" applyFont="1" applyBorder="1"/>
    <xf numFmtId="0" fontId="0" fillId="0" borderId="12" xfId="0" applyBorder="1" applyAlignment="1">
      <alignment horizontal="center"/>
    </xf>
    <xf numFmtId="0" fontId="26" fillId="0" borderId="0" xfId="0" applyFont="1" applyAlignment="1">
      <alignment vertical="center"/>
    </xf>
    <xf numFmtId="0" fontId="0" fillId="0" borderId="17" xfId="0" applyBorder="1"/>
    <xf numFmtId="43" fontId="0" fillId="0" borderId="17" xfId="1" applyFont="1" applyBorder="1"/>
    <xf numFmtId="0" fontId="0" fillId="0" borderId="0" xfId="0" applyAlignment="1">
      <alignment horizontal="center"/>
    </xf>
    <xf numFmtId="43" fontId="0" fillId="0" borderId="0" xfId="1" applyFont="1"/>
    <xf numFmtId="49" fontId="2" fillId="0" borderId="2" xfId="0" applyNumberFormat="1" applyFont="1" applyBorder="1" applyAlignment="1">
      <alignment vertical="top"/>
    </xf>
    <xf numFmtId="0" fontId="2" fillId="0" borderId="13" xfId="0" applyFont="1" applyBorder="1" applyAlignment="1">
      <alignment vertical="center"/>
    </xf>
    <xf numFmtId="49" fontId="14" fillId="0" borderId="6" xfId="0" applyNumberFormat="1" applyFont="1" applyBorder="1" applyAlignment="1">
      <alignment vertical="top"/>
    </xf>
    <xf numFmtId="49" fontId="14" fillId="0" borderId="1" xfId="0" applyNumberFormat="1" applyFont="1" applyBorder="1" applyAlignment="1">
      <alignment vertical="top"/>
    </xf>
    <xf numFmtId="49" fontId="14" fillId="0" borderId="2" xfId="0" applyNumberFormat="1" applyFont="1" applyBorder="1" applyAlignment="1">
      <alignment vertical="top"/>
    </xf>
    <xf numFmtId="49" fontId="14" fillId="0" borderId="3" xfId="0" applyNumberFormat="1" applyFont="1" applyBorder="1" applyAlignment="1">
      <alignment vertical="top"/>
    </xf>
    <xf numFmtId="49" fontId="14" fillId="0" borderId="4" xfId="0" applyNumberFormat="1" applyFon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9" fillId="0" borderId="2" xfId="0" applyNumberFormat="1" applyFont="1" applyBorder="1" applyAlignment="1">
      <alignment vertical="top"/>
    </xf>
    <xf numFmtId="49" fontId="19" fillId="0" borderId="3" xfId="0" applyNumberFormat="1" applyFont="1" applyBorder="1" applyAlignment="1">
      <alignment vertical="top"/>
    </xf>
    <xf numFmtId="49" fontId="19" fillId="0" borderId="4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3" fontId="2" fillId="0" borderId="8" xfId="1" applyFont="1" applyBorder="1" applyAlignment="1"/>
    <xf numFmtId="43" fontId="2" fillId="0" borderId="3" xfId="1" applyFont="1" applyBorder="1" applyAlignment="1"/>
    <xf numFmtId="43" fontId="2" fillId="0" borderId="4" xfId="1" applyFont="1" applyBorder="1" applyAlignment="1"/>
    <xf numFmtId="49" fontId="20" fillId="0" borderId="19" xfId="0" applyNumberFormat="1" applyFont="1" applyBorder="1" applyAlignment="1">
      <alignment vertical="top"/>
    </xf>
    <xf numFmtId="0" fontId="21" fillId="0" borderId="20" xfId="0" applyFont="1" applyBorder="1"/>
    <xf numFmtId="0" fontId="21" fillId="0" borderId="21" xfId="0" applyFont="1" applyBorder="1"/>
    <xf numFmtId="0" fontId="13" fillId="0" borderId="1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13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0" xfId="0" applyFont="1" applyAlignment="1">
      <alignment vertical="center"/>
    </xf>
  </cellXfs>
  <cellStyles count="4">
    <cellStyle name="Comma" xfId="1" builtinId="3"/>
    <cellStyle name="Hyperlink" xfId="2" builtinId="8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11"/>
  <sheetViews>
    <sheetView tabSelected="1" topLeftCell="A81" zoomScale="85" zoomScaleNormal="50" workbookViewId="0">
      <selection activeCell="G100" sqref="G100"/>
    </sheetView>
  </sheetViews>
  <sheetFormatPr defaultColWidth="9.08984375" defaultRowHeight="14.5" x14ac:dyDescent="0.35"/>
  <cols>
    <col min="1" max="1" width="6.54296875" style="67" bestFit="1" customWidth="1"/>
    <col min="2" max="2" width="24.81640625" customWidth="1"/>
    <col min="3" max="3" width="9.36328125" customWidth="1"/>
    <col min="4" max="4" width="8.453125" customWidth="1"/>
    <col min="5" max="5" width="10" customWidth="1"/>
    <col min="6" max="6" width="14.90625" style="68" customWidth="1"/>
    <col min="7" max="7" width="13.08984375" style="68" customWidth="1"/>
    <col min="8" max="8" width="10.36328125" customWidth="1"/>
    <col min="9" max="9" width="17.36328125" style="1" customWidth="1"/>
  </cols>
  <sheetData>
    <row r="1" spans="1:9" x14ac:dyDescent="0.35">
      <c r="A1" s="20"/>
      <c r="B1" s="21"/>
      <c r="C1" s="21"/>
      <c r="D1" s="21"/>
      <c r="E1" s="21"/>
      <c r="F1" s="22"/>
      <c r="G1" s="22"/>
      <c r="H1" s="21"/>
      <c r="I1" s="5"/>
    </row>
    <row r="2" spans="1:9" ht="20" customHeight="1" x14ac:dyDescent="0.35">
      <c r="A2" s="93" t="s">
        <v>59</v>
      </c>
      <c r="B2" s="94"/>
      <c r="C2" s="94"/>
      <c r="D2" s="94"/>
      <c r="E2" s="94"/>
      <c r="F2" s="17"/>
      <c r="G2" s="17"/>
      <c r="H2" s="17"/>
      <c r="I2" s="23"/>
    </row>
    <row r="3" spans="1:9" ht="15" customHeight="1" x14ac:dyDescent="0.35">
      <c r="A3" s="95" t="s">
        <v>61</v>
      </c>
      <c r="B3" s="96"/>
      <c r="C3" s="96"/>
      <c r="D3" s="96"/>
      <c r="E3" s="96"/>
      <c r="F3" s="17"/>
      <c r="G3" s="17"/>
      <c r="H3" s="17"/>
      <c r="I3" s="23"/>
    </row>
    <row r="4" spans="1:9" ht="15" customHeight="1" x14ac:dyDescent="0.35">
      <c r="A4" s="95" t="s">
        <v>88</v>
      </c>
      <c r="B4" s="96"/>
      <c r="C4" s="96"/>
      <c r="D4" s="96"/>
      <c r="E4" s="96"/>
      <c r="F4" s="17"/>
      <c r="G4" s="17"/>
      <c r="H4" s="17"/>
      <c r="I4" s="23"/>
    </row>
    <row r="5" spans="1:9" ht="15" customHeight="1" x14ac:dyDescent="0.35">
      <c r="A5" s="95" t="s">
        <v>89</v>
      </c>
      <c r="B5" s="96"/>
      <c r="C5" s="96"/>
      <c r="D5" s="96"/>
      <c r="E5" s="96"/>
      <c r="F5" s="17"/>
      <c r="G5" s="17"/>
      <c r="H5" s="17"/>
      <c r="I5" s="23"/>
    </row>
    <row r="6" spans="1:9" ht="15" customHeight="1" x14ac:dyDescent="0.35">
      <c r="A6" s="24"/>
      <c r="B6" s="25"/>
      <c r="C6" s="25"/>
      <c r="D6" s="25"/>
      <c r="E6" s="25"/>
      <c r="F6" s="17"/>
      <c r="G6" s="17"/>
      <c r="H6" s="17"/>
      <c r="I6" s="23"/>
    </row>
    <row r="7" spans="1:9" ht="15" customHeight="1" x14ac:dyDescent="0.35">
      <c r="A7" s="90"/>
      <c r="B7" s="91"/>
      <c r="C7" s="91"/>
      <c r="D7" s="91"/>
      <c r="E7" s="91"/>
      <c r="F7" s="91"/>
      <c r="G7" s="91"/>
      <c r="H7" s="91"/>
      <c r="I7" s="92"/>
    </row>
    <row r="8" spans="1:9" ht="18.75" customHeight="1" x14ac:dyDescent="0.35">
      <c r="A8" s="26"/>
      <c r="E8" s="17"/>
      <c r="F8" s="17"/>
      <c r="G8" s="17"/>
      <c r="H8" s="17"/>
      <c r="I8" s="23"/>
    </row>
    <row r="9" spans="1:9" ht="39" customHeight="1" x14ac:dyDescent="0.35">
      <c r="A9" s="8" t="s">
        <v>50</v>
      </c>
      <c r="B9" s="2" t="s">
        <v>51</v>
      </c>
      <c r="E9" s="17"/>
      <c r="F9" s="18"/>
      <c r="G9" s="18"/>
      <c r="H9" s="18"/>
      <c r="I9" s="11"/>
    </row>
    <row r="10" spans="1:9" ht="18.75" customHeight="1" x14ac:dyDescent="0.35">
      <c r="A10" s="12" t="s">
        <v>90</v>
      </c>
      <c r="B10" s="3"/>
      <c r="E10" s="17"/>
      <c r="F10" s="1"/>
      <c r="G10" s="18" t="s">
        <v>91</v>
      </c>
      <c r="H10" s="18"/>
      <c r="I10" s="70"/>
    </row>
    <row r="11" spans="1:9" ht="18.5" x14ac:dyDescent="0.35">
      <c r="A11" s="27" t="s">
        <v>52</v>
      </c>
      <c r="B11" s="28"/>
      <c r="C11" s="28"/>
      <c r="D11" s="28"/>
      <c r="E11" s="17"/>
      <c r="F11"/>
      <c r="G11" s="1"/>
      <c r="I11" s="11"/>
    </row>
    <row r="12" spans="1:9" ht="18.5" x14ac:dyDescent="0.35">
      <c r="A12" s="27" t="s">
        <v>53</v>
      </c>
      <c r="B12" s="28"/>
      <c r="E12" s="17"/>
      <c r="F12" s="18"/>
      <c r="G12" s="18" t="s">
        <v>107</v>
      </c>
      <c r="H12" s="18"/>
      <c r="I12" s="11"/>
    </row>
    <row r="13" spans="1:9" ht="18.5" x14ac:dyDescent="0.35">
      <c r="A13" s="13"/>
      <c r="B13" s="2"/>
      <c r="E13" s="17"/>
      <c r="F13" s="18"/>
      <c r="G13" s="18" t="s">
        <v>92</v>
      </c>
      <c r="H13" s="18"/>
      <c r="I13" s="70"/>
    </row>
    <row r="14" spans="1:9" ht="18.5" x14ac:dyDescent="0.35">
      <c r="A14" s="29"/>
      <c r="B14" s="4"/>
      <c r="C14" s="30"/>
      <c r="D14" s="30"/>
      <c r="E14" s="19"/>
      <c r="F14" s="30"/>
      <c r="G14" s="30"/>
      <c r="H14" s="30"/>
      <c r="I14" s="14"/>
    </row>
    <row r="15" spans="1:9" ht="15" customHeight="1" x14ac:dyDescent="0.35">
      <c r="A15" s="31" t="s">
        <v>10</v>
      </c>
      <c r="B15" s="32" t="s">
        <v>44</v>
      </c>
      <c r="C15" s="32" t="s">
        <v>6</v>
      </c>
      <c r="D15" s="32" t="s">
        <v>7</v>
      </c>
      <c r="E15" s="32" t="s">
        <v>8</v>
      </c>
      <c r="F15" s="33" t="s">
        <v>37</v>
      </c>
      <c r="G15" s="33" t="s">
        <v>60</v>
      </c>
      <c r="H15" s="32" t="s">
        <v>38</v>
      </c>
      <c r="I15" s="34" t="s">
        <v>5</v>
      </c>
    </row>
    <row r="16" spans="1:9" x14ac:dyDescent="0.35">
      <c r="A16" s="35"/>
      <c r="B16" s="76"/>
      <c r="C16" s="77"/>
      <c r="D16" s="78"/>
      <c r="E16" s="36"/>
      <c r="F16" s="37"/>
      <c r="G16" s="37"/>
      <c r="H16" s="38"/>
      <c r="I16" s="39"/>
    </row>
    <row r="17" spans="1:9" x14ac:dyDescent="0.35">
      <c r="A17" s="40"/>
      <c r="B17" s="79" t="s">
        <v>9</v>
      </c>
      <c r="C17" s="80"/>
      <c r="D17" s="81"/>
      <c r="E17" s="41"/>
      <c r="F17" s="42"/>
      <c r="G17" s="42"/>
      <c r="H17" s="43"/>
      <c r="I17" s="44"/>
    </row>
    <row r="18" spans="1:9" x14ac:dyDescent="0.35">
      <c r="A18" s="40">
        <f>+A16+1</f>
        <v>1</v>
      </c>
      <c r="B18" s="69" t="s">
        <v>0</v>
      </c>
      <c r="C18" s="82"/>
      <c r="D18" s="83"/>
      <c r="E18" s="48">
        <v>300</v>
      </c>
      <c r="F18" s="49">
        <v>470</v>
      </c>
      <c r="G18" s="49">
        <f t="shared" ref="G18:G24" si="0">+F18*5%</f>
        <v>23.5</v>
      </c>
      <c r="H18" s="43">
        <f>+F18+G18</f>
        <v>493.5</v>
      </c>
      <c r="I18" s="39">
        <f t="shared" ref="I18:I24" si="1">+E18*H18</f>
        <v>148050</v>
      </c>
    </row>
    <row r="19" spans="1:9" x14ac:dyDescent="0.35">
      <c r="A19" s="40">
        <f t="shared" ref="A19:A24" si="2">+A18+1</f>
        <v>2</v>
      </c>
      <c r="B19" s="41" t="s">
        <v>74</v>
      </c>
      <c r="C19" s="48">
        <v>100</v>
      </c>
      <c r="D19" s="48">
        <v>100</v>
      </c>
      <c r="E19" s="50">
        <f t="shared" ref="E19:E24" si="3">+C19+D19</f>
        <v>200</v>
      </c>
      <c r="F19" s="49">
        <v>470</v>
      </c>
      <c r="G19" s="49">
        <f t="shared" si="0"/>
        <v>23.5</v>
      </c>
      <c r="H19" s="43">
        <f t="shared" ref="H19:H24" si="4">+F19+G19</f>
        <v>493.5</v>
      </c>
      <c r="I19" s="39">
        <f t="shared" si="1"/>
        <v>98700</v>
      </c>
    </row>
    <row r="20" spans="1:9" x14ac:dyDescent="0.35">
      <c r="A20" s="40">
        <f t="shared" si="2"/>
        <v>3</v>
      </c>
      <c r="B20" s="41" t="s">
        <v>73</v>
      </c>
      <c r="C20" s="48">
        <v>300</v>
      </c>
      <c r="D20" s="48">
        <v>300</v>
      </c>
      <c r="E20" s="50">
        <f t="shared" si="3"/>
        <v>600</v>
      </c>
      <c r="F20" s="49">
        <v>470</v>
      </c>
      <c r="G20" s="49">
        <f t="shared" si="0"/>
        <v>23.5</v>
      </c>
      <c r="H20" s="43">
        <f t="shared" si="4"/>
        <v>493.5</v>
      </c>
      <c r="I20" s="39">
        <f t="shared" si="1"/>
        <v>296100</v>
      </c>
    </row>
    <row r="21" spans="1:9" x14ac:dyDescent="0.35">
      <c r="A21" s="40">
        <f t="shared" si="2"/>
        <v>4</v>
      </c>
      <c r="B21" s="41" t="s">
        <v>75</v>
      </c>
      <c r="C21" s="48">
        <v>300</v>
      </c>
      <c r="D21" s="48">
        <v>300</v>
      </c>
      <c r="E21" s="50">
        <f t="shared" si="3"/>
        <v>600</v>
      </c>
      <c r="F21" s="49">
        <v>470</v>
      </c>
      <c r="G21" s="49">
        <f t="shared" si="0"/>
        <v>23.5</v>
      </c>
      <c r="H21" s="43">
        <f t="shared" si="4"/>
        <v>493.5</v>
      </c>
      <c r="I21" s="39">
        <f t="shared" si="1"/>
        <v>296100</v>
      </c>
    </row>
    <row r="22" spans="1:9" x14ac:dyDescent="0.35">
      <c r="A22" s="40">
        <f t="shared" si="2"/>
        <v>5</v>
      </c>
      <c r="B22" s="41" t="s">
        <v>76</v>
      </c>
      <c r="C22" s="48">
        <v>200</v>
      </c>
      <c r="D22" s="48">
        <v>200</v>
      </c>
      <c r="E22" s="50">
        <f t="shared" si="3"/>
        <v>400</v>
      </c>
      <c r="F22" s="49">
        <v>470</v>
      </c>
      <c r="G22" s="49">
        <f t="shared" si="0"/>
        <v>23.5</v>
      </c>
      <c r="H22" s="43">
        <f t="shared" si="4"/>
        <v>493.5</v>
      </c>
      <c r="I22" s="39">
        <f t="shared" si="1"/>
        <v>197400</v>
      </c>
    </row>
    <row r="23" spans="1:9" x14ac:dyDescent="0.35">
      <c r="A23" s="40">
        <f t="shared" si="2"/>
        <v>6</v>
      </c>
      <c r="B23" s="41" t="s">
        <v>77</v>
      </c>
      <c r="C23" s="48">
        <v>100</v>
      </c>
      <c r="D23" s="48">
        <v>100</v>
      </c>
      <c r="E23" s="50">
        <f t="shared" si="3"/>
        <v>200</v>
      </c>
      <c r="F23" s="49">
        <v>470</v>
      </c>
      <c r="G23" s="49">
        <f t="shared" si="0"/>
        <v>23.5</v>
      </c>
      <c r="H23" s="43">
        <f t="shared" si="4"/>
        <v>493.5</v>
      </c>
      <c r="I23" s="39">
        <f t="shared" si="1"/>
        <v>98700</v>
      </c>
    </row>
    <row r="24" spans="1:9" x14ac:dyDescent="0.35">
      <c r="A24" s="40">
        <f t="shared" si="2"/>
        <v>7</v>
      </c>
      <c r="B24" s="41" t="s">
        <v>45</v>
      </c>
      <c r="C24" s="48">
        <v>600</v>
      </c>
      <c r="D24" s="48">
        <v>600</v>
      </c>
      <c r="E24" s="50">
        <f t="shared" si="3"/>
        <v>1200</v>
      </c>
      <c r="F24" s="49">
        <v>470</v>
      </c>
      <c r="G24" s="49">
        <f t="shared" si="0"/>
        <v>23.5</v>
      </c>
      <c r="H24" s="43">
        <f t="shared" si="4"/>
        <v>493.5</v>
      </c>
      <c r="I24" s="39">
        <f t="shared" si="1"/>
        <v>592200</v>
      </c>
    </row>
    <row r="25" spans="1:9" x14ac:dyDescent="0.35">
      <c r="A25" s="40"/>
      <c r="B25" s="69"/>
      <c r="C25" s="55"/>
      <c r="D25" s="56"/>
      <c r="F25" s="49"/>
      <c r="G25" s="49"/>
      <c r="H25" s="43"/>
      <c r="I25" s="39"/>
    </row>
    <row r="26" spans="1:9" x14ac:dyDescent="0.35">
      <c r="A26" s="40"/>
      <c r="B26" s="79" t="s">
        <v>1</v>
      </c>
      <c r="C26" s="80"/>
      <c r="D26" s="81"/>
      <c r="E26" s="51"/>
      <c r="F26" s="52"/>
      <c r="G26" s="52"/>
      <c r="H26" s="43"/>
      <c r="I26" s="39"/>
    </row>
    <row r="27" spans="1:9" x14ac:dyDescent="0.35">
      <c r="A27" s="40">
        <f>+A24+1</f>
        <v>8</v>
      </c>
      <c r="B27" s="41" t="s">
        <v>94</v>
      </c>
      <c r="C27" s="46" t="s">
        <v>102</v>
      </c>
      <c r="D27" s="47" t="s">
        <v>102</v>
      </c>
      <c r="E27" s="48">
        <v>100</v>
      </c>
      <c r="F27" s="49">
        <v>470</v>
      </c>
      <c r="G27" s="49">
        <f t="shared" ref="G27:G33" si="5">+F27*5%</f>
        <v>23.5</v>
      </c>
      <c r="H27" s="43">
        <f t="shared" ref="H27:H33" si="6">+F27+G27</f>
        <v>493.5</v>
      </c>
      <c r="I27" s="39">
        <f t="shared" ref="I27:I58" si="7">+E27*H27</f>
        <v>49350</v>
      </c>
    </row>
    <row r="28" spans="1:9" x14ac:dyDescent="0.35">
      <c r="A28" s="40">
        <f t="shared" ref="A28:A33" si="8">+A27+1</f>
        <v>9</v>
      </c>
      <c r="B28" s="41" t="s">
        <v>95</v>
      </c>
      <c r="C28" s="48">
        <v>100</v>
      </c>
      <c r="D28" s="48">
        <v>100</v>
      </c>
      <c r="E28" s="50">
        <f t="shared" ref="E28:E33" si="9">+C28+D28</f>
        <v>200</v>
      </c>
      <c r="F28" s="49">
        <v>470</v>
      </c>
      <c r="G28" s="49">
        <f t="shared" si="5"/>
        <v>23.5</v>
      </c>
      <c r="H28" s="43">
        <f t="shared" si="6"/>
        <v>493.5</v>
      </c>
      <c r="I28" s="39">
        <f t="shared" si="7"/>
        <v>98700</v>
      </c>
    </row>
    <row r="29" spans="1:9" x14ac:dyDescent="0.35">
      <c r="A29" s="40">
        <f t="shared" si="8"/>
        <v>10</v>
      </c>
      <c r="B29" s="41" t="s">
        <v>96</v>
      </c>
      <c r="C29" s="48">
        <v>100</v>
      </c>
      <c r="D29" s="48">
        <v>100</v>
      </c>
      <c r="E29" s="50">
        <f t="shared" si="9"/>
        <v>200</v>
      </c>
      <c r="F29" s="49">
        <v>470</v>
      </c>
      <c r="G29" s="49">
        <f t="shared" si="5"/>
        <v>23.5</v>
      </c>
      <c r="H29" s="43">
        <f t="shared" si="6"/>
        <v>493.5</v>
      </c>
      <c r="I29" s="39">
        <f t="shared" si="7"/>
        <v>98700</v>
      </c>
    </row>
    <row r="30" spans="1:9" x14ac:dyDescent="0.35">
      <c r="A30" s="40">
        <f t="shared" si="8"/>
        <v>11</v>
      </c>
      <c r="B30" s="41" t="s">
        <v>97</v>
      </c>
      <c r="C30" s="48">
        <v>50</v>
      </c>
      <c r="D30" s="48">
        <v>50</v>
      </c>
      <c r="E30" s="50">
        <f t="shared" si="9"/>
        <v>100</v>
      </c>
      <c r="F30" s="49">
        <v>470</v>
      </c>
      <c r="G30" s="49">
        <f t="shared" si="5"/>
        <v>23.5</v>
      </c>
      <c r="H30" s="43">
        <f t="shared" si="6"/>
        <v>493.5</v>
      </c>
      <c r="I30" s="39">
        <f t="shared" si="7"/>
        <v>49350</v>
      </c>
    </row>
    <row r="31" spans="1:9" x14ac:dyDescent="0.35">
      <c r="A31" s="40">
        <f t="shared" si="8"/>
        <v>12</v>
      </c>
      <c r="B31" s="41" t="s">
        <v>98</v>
      </c>
      <c r="C31" s="48">
        <v>50</v>
      </c>
      <c r="D31" s="48">
        <v>50</v>
      </c>
      <c r="E31" s="50">
        <f t="shared" si="9"/>
        <v>100</v>
      </c>
      <c r="F31" s="49">
        <v>470</v>
      </c>
      <c r="G31" s="49">
        <f t="shared" si="5"/>
        <v>23.5</v>
      </c>
      <c r="H31" s="43">
        <f t="shared" si="6"/>
        <v>493.5</v>
      </c>
      <c r="I31" s="39">
        <f t="shared" si="7"/>
        <v>49350</v>
      </c>
    </row>
    <row r="32" spans="1:9" x14ac:dyDescent="0.35">
      <c r="A32" s="40">
        <f t="shared" si="8"/>
        <v>13</v>
      </c>
      <c r="B32" s="41" t="s">
        <v>99</v>
      </c>
      <c r="C32" s="48">
        <v>50</v>
      </c>
      <c r="D32" s="48">
        <v>50</v>
      </c>
      <c r="E32" s="50">
        <f t="shared" si="9"/>
        <v>100</v>
      </c>
      <c r="F32" s="49">
        <v>470</v>
      </c>
      <c r="G32" s="49">
        <f t="shared" si="5"/>
        <v>23.5</v>
      </c>
      <c r="H32" s="43">
        <f t="shared" si="6"/>
        <v>493.5</v>
      </c>
      <c r="I32" s="39">
        <f t="shared" si="7"/>
        <v>49350</v>
      </c>
    </row>
    <row r="33" spans="1:9" x14ac:dyDescent="0.35">
      <c r="A33" s="40">
        <f t="shared" si="8"/>
        <v>14</v>
      </c>
      <c r="B33" s="41" t="s">
        <v>100</v>
      </c>
      <c r="C33" s="48">
        <v>100</v>
      </c>
      <c r="D33" s="48">
        <v>100</v>
      </c>
      <c r="E33" s="50">
        <f t="shared" si="9"/>
        <v>200</v>
      </c>
      <c r="F33" s="49">
        <v>470</v>
      </c>
      <c r="G33" s="49">
        <f t="shared" si="5"/>
        <v>23.5</v>
      </c>
      <c r="H33" s="43">
        <f t="shared" si="6"/>
        <v>493.5</v>
      </c>
      <c r="I33" s="39">
        <f t="shared" si="7"/>
        <v>98700</v>
      </c>
    </row>
    <row r="34" spans="1:9" x14ac:dyDescent="0.35">
      <c r="A34" s="40"/>
      <c r="B34" s="79" t="s">
        <v>1</v>
      </c>
      <c r="C34" s="80"/>
      <c r="D34" s="81"/>
      <c r="E34" s="41"/>
      <c r="F34" s="42"/>
      <c r="G34" s="42"/>
      <c r="H34" s="43"/>
      <c r="I34" s="39">
        <f t="shared" si="7"/>
        <v>0</v>
      </c>
    </row>
    <row r="35" spans="1:9" x14ac:dyDescent="0.35">
      <c r="A35" s="40">
        <f>+A33+1</f>
        <v>15</v>
      </c>
      <c r="B35" s="41" t="s">
        <v>78</v>
      </c>
      <c r="C35" s="46" t="s">
        <v>102</v>
      </c>
      <c r="D35" s="47" t="s">
        <v>102</v>
      </c>
      <c r="E35" s="48">
        <v>100</v>
      </c>
      <c r="F35" s="49">
        <v>470</v>
      </c>
      <c r="G35" s="49">
        <f t="shared" ref="G35:G41" si="10">+F35*5%</f>
        <v>23.5</v>
      </c>
      <c r="H35" s="43">
        <f t="shared" ref="H35:H41" si="11">+F35+G35</f>
        <v>493.5</v>
      </c>
      <c r="I35" s="39">
        <f t="shared" si="7"/>
        <v>49350</v>
      </c>
    </row>
    <row r="36" spans="1:9" x14ac:dyDescent="0.35">
      <c r="A36" s="40">
        <f t="shared" ref="A36:A41" si="12">+A35+1</f>
        <v>16</v>
      </c>
      <c r="B36" s="41" t="s">
        <v>79</v>
      </c>
      <c r="C36" s="48">
        <v>100</v>
      </c>
      <c r="D36" s="48">
        <v>100</v>
      </c>
      <c r="E36" s="50">
        <f t="shared" ref="E36:E41" si="13">+C36+D36</f>
        <v>200</v>
      </c>
      <c r="F36" s="49">
        <v>470</v>
      </c>
      <c r="G36" s="49">
        <f t="shared" si="10"/>
        <v>23.5</v>
      </c>
      <c r="H36" s="43">
        <f t="shared" si="11"/>
        <v>493.5</v>
      </c>
      <c r="I36" s="39">
        <f t="shared" si="7"/>
        <v>98700</v>
      </c>
    </row>
    <row r="37" spans="1:9" x14ac:dyDescent="0.35">
      <c r="A37" s="40">
        <f t="shared" si="12"/>
        <v>17</v>
      </c>
      <c r="B37" s="41" t="s">
        <v>80</v>
      </c>
      <c r="C37" s="48">
        <v>100</v>
      </c>
      <c r="D37" s="48">
        <v>100</v>
      </c>
      <c r="E37" s="50">
        <f t="shared" si="13"/>
        <v>200</v>
      </c>
      <c r="F37" s="49">
        <v>470</v>
      </c>
      <c r="G37" s="49">
        <f t="shared" si="10"/>
        <v>23.5</v>
      </c>
      <c r="H37" s="43">
        <f t="shared" si="11"/>
        <v>493.5</v>
      </c>
      <c r="I37" s="39">
        <f t="shared" si="7"/>
        <v>98700</v>
      </c>
    </row>
    <row r="38" spans="1:9" x14ac:dyDescent="0.35">
      <c r="A38" s="40">
        <f t="shared" si="12"/>
        <v>18</v>
      </c>
      <c r="B38" s="41" t="s">
        <v>81</v>
      </c>
      <c r="C38" s="48">
        <v>50</v>
      </c>
      <c r="D38" s="48">
        <v>50</v>
      </c>
      <c r="E38" s="50">
        <f t="shared" si="13"/>
        <v>100</v>
      </c>
      <c r="F38" s="49">
        <v>470</v>
      </c>
      <c r="G38" s="49">
        <f t="shared" si="10"/>
        <v>23.5</v>
      </c>
      <c r="H38" s="43">
        <f t="shared" si="11"/>
        <v>493.5</v>
      </c>
      <c r="I38" s="39">
        <f t="shared" si="7"/>
        <v>49350</v>
      </c>
    </row>
    <row r="39" spans="1:9" x14ac:dyDescent="0.35">
      <c r="A39" s="40">
        <f t="shared" si="12"/>
        <v>19</v>
      </c>
      <c r="B39" s="41" t="s">
        <v>82</v>
      </c>
      <c r="C39" s="48">
        <v>50</v>
      </c>
      <c r="D39" s="48">
        <v>50</v>
      </c>
      <c r="E39" s="50">
        <f t="shared" si="13"/>
        <v>100</v>
      </c>
      <c r="F39" s="49">
        <v>470</v>
      </c>
      <c r="G39" s="49">
        <f t="shared" si="10"/>
        <v>23.5</v>
      </c>
      <c r="H39" s="43">
        <f t="shared" si="11"/>
        <v>493.5</v>
      </c>
      <c r="I39" s="39">
        <f t="shared" si="7"/>
        <v>49350</v>
      </c>
    </row>
    <row r="40" spans="1:9" x14ac:dyDescent="0.35">
      <c r="A40" s="40">
        <f t="shared" si="12"/>
        <v>20</v>
      </c>
      <c r="B40" s="41" t="s">
        <v>83</v>
      </c>
      <c r="C40" s="48">
        <v>50</v>
      </c>
      <c r="D40" s="48">
        <v>50</v>
      </c>
      <c r="E40" s="50">
        <f t="shared" si="13"/>
        <v>100</v>
      </c>
      <c r="F40" s="49">
        <v>470</v>
      </c>
      <c r="G40" s="49">
        <f t="shared" si="10"/>
        <v>23.5</v>
      </c>
      <c r="H40" s="43">
        <f t="shared" si="11"/>
        <v>493.5</v>
      </c>
      <c r="I40" s="39">
        <f t="shared" si="7"/>
        <v>49350</v>
      </c>
    </row>
    <row r="41" spans="1:9" x14ac:dyDescent="0.35">
      <c r="A41" s="40">
        <f t="shared" si="12"/>
        <v>21</v>
      </c>
      <c r="B41" s="41" t="s">
        <v>17</v>
      </c>
      <c r="C41" s="48">
        <v>100</v>
      </c>
      <c r="D41" s="48">
        <v>100</v>
      </c>
      <c r="E41" s="50">
        <f t="shared" si="13"/>
        <v>200</v>
      </c>
      <c r="F41" s="49">
        <v>470</v>
      </c>
      <c r="G41" s="49">
        <f t="shared" si="10"/>
        <v>23.5</v>
      </c>
      <c r="H41" s="43">
        <f t="shared" si="11"/>
        <v>493.5</v>
      </c>
      <c r="I41" s="39">
        <f t="shared" si="7"/>
        <v>98700</v>
      </c>
    </row>
    <row r="42" spans="1:9" x14ac:dyDescent="0.35">
      <c r="A42" s="40"/>
      <c r="B42" s="79" t="s">
        <v>104</v>
      </c>
      <c r="C42" s="80"/>
      <c r="D42" s="81"/>
      <c r="E42" s="50"/>
      <c r="F42" s="49"/>
      <c r="G42" s="49"/>
      <c r="H42" s="43"/>
      <c r="I42" s="39">
        <f t="shared" si="7"/>
        <v>0</v>
      </c>
    </row>
    <row r="43" spans="1:9" x14ac:dyDescent="0.35">
      <c r="A43" s="40">
        <f>+A41+1</f>
        <v>22</v>
      </c>
      <c r="B43" s="53" t="s">
        <v>105</v>
      </c>
      <c r="C43" s="48">
        <v>100</v>
      </c>
      <c r="D43" s="48">
        <v>100</v>
      </c>
      <c r="E43" s="50">
        <f>+C43+D43</f>
        <v>200</v>
      </c>
      <c r="F43" s="49">
        <v>470</v>
      </c>
      <c r="G43" s="49">
        <f>+F43*5%</f>
        <v>23.5</v>
      </c>
      <c r="H43" s="43">
        <f>+F43+G43</f>
        <v>493.5</v>
      </c>
      <c r="I43" s="39">
        <f t="shared" si="7"/>
        <v>98700</v>
      </c>
    </row>
    <row r="44" spans="1:9" x14ac:dyDescent="0.35">
      <c r="A44" s="40"/>
      <c r="B44" s="79" t="s">
        <v>2</v>
      </c>
      <c r="C44" s="80"/>
      <c r="D44" s="81"/>
      <c r="E44" s="41"/>
      <c r="F44" s="49"/>
      <c r="G44" s="42"/>
      <c r="H44" s="43"/>
      <c r="I44" s="39">
        <f t="shared" si="7"/>
        <v>0</v>
      </c>
    </row>
    <row r="45" spans="1:9" x14ac:dyDescent="0.35">
      <c r="A45" s="40">
        <f>+A43+1</f>
        <v>23</v>
      </c>
      <c r="B45" s="41" t="s">
        <v>85</v>
      </c>
      <c r="C45" s="48">
        <v>200</v>
      </c>
      <c r="D45" s="48">
        <v>200</v>
      </c>
      <c r="E45" s="50">
        <f>+C45+D45</f>
        <v>400</v>
      </c>
      <c r="F45" s="49">
        <v>470</v>
      </c>
      <c r="G45" s="49">
        <f>+F45*5%</f>
        <v>23.5</v>
      </c>
      <c r="H45" s="43">
        <f t="shared" ref="H45:H87" si="14">+F45+G45</f>
        <v>493.5</v>
      </c>
      <c r="I45" s="39">
        <f t="shared" si="7"/>
        <v>197400</v>
      </c>
    </row>
    <row r="46" spans="1:9" x14ac:dyDescent="0.35">
      <c r="A46" s="40">
        <f>+A45+1</f>
        <v>24</v>
      </c>
      <c r="B46" s="41" t="s">
        <v>84</v>
      </c>
      <c r="C46" s="48">
        <v>200</v>
      </c>
      <c r="D46" s="48">
        <v>200</v>
      </c>
      <c r="E46" s="50">
        <f>+C46+D46</f>
        <v>400</v>
      </c>
      <c r="F46" s="49">
        <v>470</v>
      </c>
      <c r="G46" s="49">
        <f>+F46*5%</f>
        <v>23.5</v>
      </c>
      <c r="H46" s="43">
        <f t="shared" si="14"/>
        <v>493.5</v>
      </c>
      <c r="I46" s="39">
        <f t="shared" si="7"/>
        <v>197400</v>
      </c>
    </row>
    <row r="47" spans="1:9" x14ac:dyDescent="0.35">
      <c r="A47" s="40">
        <f>+A46+1</f>
        <v>25</v>
      </c>
      <c r="B47" s="41" t="s">
        <v>86</v>
      </c>
      <c r="C47" s="48">
        <v>100</v>
      </c>
      <c r="D47" s="48">
        <v>100</v>
      </c>
      <c r="E47" s="50">
        <f>+C47+D47</f>
        <v>200</v>
      </c>
      <c r="F47" s="49">
        <v>470</v>
      </c>
      <c r="G47" s="49">
        <f>+F47*5%</f>
        <v>23.5</v>
      </c>
      <c r="H47" s="43">
        <f t="shared" si="14"/>
        <v>493.5</v>
      </c>
      <c r="I47" s="39">
        <f t="shared" si="7"/>
        <v>98700</v>
      </c>
    </row>
    <row r="48" spans="1:9" x14ac:dyDescent="0.35">
      <c r="A48" s="40">
        <f>+A47+1</f>
        <v>26</v>
      </c>
      <c r="B48" s="41" t="s">
        <v>36</v>
      </c>
      <c r="C48" s="48">
        <v>200</v>
      </c>
      <c r="D48" s="48">
        <v>200</v>
      </c>
      <c r="E48" s="50">
        <f>+C48+D48</f>
        <v>400</v>
      </c>
      <c r="F48" s="49">
        <v>470</v>
      </c>
      <c r="G48" s="49">
        <f>+F48*5%</f>
        <v>23.5</v>
      </c>
      <c r="H48" s="43">
        <f t="shared" si="14"/>
        <v>493.5</v>
      </c>
      <c r="I48" s="39">
        <f t="shared" si="7"/>
        <v>197400</v>
      </c>
    </row>
    <row r="49" spans="1:9" x14ac:dyDescent="0.35">
      <c r="A49" s="40"/>
      <c r="B49" s="87" t="s">
        <v>54</v>
      </c>
      <c r="C49" s="88"/>
      <c r="D49" s="89"/>
      <c r="E49" s="50"/>
      <c r="F49" s="49"/>
      <c r="G49" s="49"/>
      <c r="H49" s="43">
        <f t="shared" si="14"/>
        <v>0</v>
      </c>
      <c r="I49" s="39">
        <f t="shared" si="7"/>
        <v>0</v>
      </c>
    </row>
    <row r="50" spans="1:9" x14ac:dyDescent="0.35">
      <c r="A50" s="40">
        <f>A48+1</f>
        <v>27</v>
      </c>
      <c r="B50" s="53" t="s">
        <v>46</v>
      </c>
      <c r="C50" s="48">
        <v>0</v>
      </c>
      <c r="D50" s="48">
        <v>0</v>
      </c>
      <c r="E50" s="50">
        <f>+C50+D50</f>
        <v>0</v>
      </c>
      <c r="F50" s="49">
        <v>470</v>
      </c>
      <c r="G50" s="49">
        <f>+F50*5%</f>
        <v>23.5</v>
      </c>
      <c r="H50" s="43">
        <f t="shared" si="14"/>
        <v>493.5</v>
      </c>
      <c r="I50" s="39">
        <f t="shared" si="7"/>
        <v>0</v>
      </c>
    </row>
    <row r="51" spans="1:9" x14ac:dyDescent="0.35">
      <c r="A51" s="40">
        <f>A50+1</f>
        <v>28</v>
      </c>
      <c r="B51" s="53" t="s">
        <v>47</v>
      </c>
      <c r="C51" s="48">
        <v>0</v>
      </c>
      <c r="D51" s="48">
        <v>0</v>
      </c>
      <c r="E51" s="50">
        <f>+C51+D51</f>
        <v>0</v>
      </c>
      <c r="F51" s="49">
        <v>470</v>
      </c>
      <c r="G51" s="49">
        <f t="shared" ref="G51:G65" si="15">+F51*5%</f>
        <v>23.5</v>
      </c>
      <c r="H51" s="43">
        <f t="shared" si="14"/>
        <v>493.5</v>
      </c>
      <c r="I51" s="39">
        <f t="shared" si="7"/>
        <v>0</v>
      </c>
    </row>
    <row r="52" spans="1:9" x14ac:dyDescent="0.35">
      <c r="A52" s="40">
        <f>A51+1</f>
        <v>29</v>
      </c>
      <c r="B52" s="53" t="s">
        <v>48</v>
      </c>
      <c r="C52" s="48">
        <v>0</v>
      </c>
      <c r="D52" s="48">
        <v>0</v>
      </c>
      <c r="E52" s="50">
        <f>+C52+D52</f>
        <v>0</v>
      </c>
      <c r="F52" s="49">
        <v>470</v>
      </c>
      <c r="G52" s="49">
        <f t="shared" si="15"/>
        <v>23.5</v>
      </c>
      <c r="H52" s="43">
        <f t="shared" si="14"/>
        <v>493.5</v>
      </c>
      <c r="I52" s="39">
        <f t="shared" si="7"/>
        <v>0</v>
      </c>
    </row>
    <row r="53" spans="1:9" x14ac:dyDescent="0.35">
      <c r="A53" s="40">
        <f>A52+1</f>
        <v>30</v>
      </c>
      <c r="B53" s="53" t="s">
        <v>49</v>
      </c>
      <c r="C53" s="48">
        <v>100</v>
      </c>
      <c r="D53" s="48">
        <v>100</v>
      </c>
      <c r="E53" s="50">
        <f>+C53+D53</f>
        <v>200</v>
      </c>
      <c r="F53" s="49">
        <v>470</v>
      </c>
      <c r="G53" s="49">
        <f t="shared" si="15"/>
        <v>23.5</v>
      </c>
      <c r="H53" s="43">
        <f t="shared" si="14"/>
        <v>493.5</v>
      </c>
      <c r="I53" s="39">
        <f t="shared" si="7"/>
        <v>98700</v>
      </c>
    </row>
    <row r="54" spans="1:9" x14ac:dyDescent="0.35">
      <c r="A54" s="40"/>
      <c r="B54" s="54" t="s">
        <v>62</v>
      </c>
      <c r="C54" s="55"/>
      <c r="D54" s="56"/>
      <c r="E54" s="50"/>
      <c r="F54" s="49"/>
      <c r="G54" s="49">
        <f t="shared" si="15"/>
        <v>0</v>
      </c>
      <c r="H54" s="43">
        <f t="shared" si="14"/>
        <v>0</v>
      </c>
      <c r="I54" s="39">
        <f t="shared" si="7"/>
        <v>0</v>
      </c>
    </row>
    <row r="55" spans="1:9" x14ac:dyDescent="0.35">
      <c r="A55" s="40">
        <f>A53+1</f>
        <v>31</v>
      </c>
      <c r="B55" s="45" t="s">
        <v>69</v>
      </c>
      <c r="C55" s="55">
        <v>0</v>
      </c>
      <c r="D55" s="56">
        <v>0</v>
      </c>
      <c r="E55" s="50" t="s">
        <v>101</v>
      </c>
      <c r="F55" s="49">
        <v>470</v>
      </c>
      <c r="G55" s="49">
        <f t="shared" si="15"/>
        <v>23.5</v>
      </c>
      <c r="H55" s="43">
        <f t="shared" si="14"/>
        <v>493.5</v>
      </c>
      <c r="I55" s="39">
        <f t="shared" si="7"/>
        <v>49350</v>
      </c>
    </row>
    <row r="56" spans="1:9" x14ac:dyDescent="0.35">
      <c r="A56" s="40">
        <f>A55+1</f>
        <v>32</v>
      </c>
      <c r="B56" s="45" t="s">
        <v>65</v>
      </c>
      <c r="C56" s="55">
        <v>100</v>
      </c>
      <c r="D56" s="56">
        <v>100</v>
      </c>
      <c r="E56" s="50">
        <f>+C56+D56</f>
        <v>200</v>
      </c>
      <c r="F56" s="49">
        <v>470</v>
      </c>
      <c r="G56" s="49">
        <f t="shared" si="15"/>
        <v>23.5</v>
      </c>
      <c r="H56" s="43">
        <f t="shared" si="14"/>
        <v>493.5</v>
      </c>
      <c r="I56" s="39">
        <f t="shared" si="7"/>
        <v>98700</v>
      </c>
    </row>
    <row r="57" spans="1:9" x14ac:dyDescent="0.35">
      <c r="A57" s="40">
        <f t="shared" ref="A57:A60" si="16">A56+1</f>
        <v>33</v>
      </c>
      <c r="B57" s="45" t="s">
        <v>66</v>
      </c>
      <c r="C57" s="55">
        <v>100</v>
      </c>
      <c r="D57" s="56">
        <v>100</v>
      </c>
      <c r="E57" s="50">
        <f>+C57+D57</f>
        <v>200</v>
      </c>
      <c r="F57" s="49">
        <v>470</v>
      </c>
      <c r="G57" s="49">
        <f t="shared" si="15"/>
        <v>23.5</v>
      </c>
      <c r="H57" s="43">
        <f t="shared" si="14"/>
        <v>493.5</v>
      </c>
      <c r="I57" s="39">
        <f t="shared" si="7"/>
        <v>98700</v>
      </c>
    </row>
    <row r="58" spans="1:9" x14ac:dyDescent="0.35">
      <c r="A58" s="40">
        <f t="shared" si="16"/>
        <v>34</v>
      </c>
      <c r="B58" s="45" t="s">
        <v>67</v>
      </c>
      <c r="C58" s="55">
        <v>100</v>
      </c>
      <c r="D58" s="56">
        <v>100</v>
      </c>
      <c r="E58" s="50">
        <f>+C58+D58</f>
        <v>200</v>
      </c>
      <c r="F58" s="49">
        <v>470</v>
      </c>
      <c r="G58" s="49">
        <f t="shared" si="15"/>
        <v>23.5</v>
      </c>
      <c r="H58" s="43">
        <f t="shared" si="14"/>
        <v>493.5</v>
      </c>
      <c r="I58" s="39">
        <f t="shared" si="7"/>
        <v>98700</v>
      </c>
    </row>
    <row r="59" spans="1:9" x14ac:dyDescent="0.35">
      <c r="A59" s="40">
        <f t="shared" si="16"/>
        <v>35</v>
      </c>
      <c r="B59" s="45" t="s">
        <v>68</v>
      </c>
      <c r="C59" s="55">
        <v>100</v>
      </c>
      <c r="D59" s="56">
        <v>100</v>
      </c>
      <c r="E59" s="50">
        <f>+C59+D59</f>
        <v>200</v>
      </c>
      <c r="F59" s="49">
        <v>470</v>
      </c>
      <c r="G59" s="49">
        <f t="shared" si="15"/>
        <v>23.5</v>
      </c>
      <c r="H59" s="43">
        <f t="shared" si="14"/>
        <v>493.5</v>
      </c>
      <c r="I59" s="39">
        <f t="shared" ref="I59:I90" si="17">+E59*H59</f>
        <v>98700</v>
      </c>
    </row>
    <row r="60" spans="1:9" x14ac:dyDescent="0.35">
      <c r="A60" s="40">
        <f t="shared" si="16"/>
        <v>36</v>
      </c>
      <c r="B60" s="45" t="s">
        <v>63</v>
      </c>
      <c r="C60" s="55">
        <v>200</v>
      </c>
      <c r="D60" s="56">
        <v>200</v>
      </c>
      <c r="E60" s="50">
        <f>+C60+D60</f>
        <v>400</v>
      </c>
      <c r="F60" s="49">
        <v>470</v>
      </c>
      <c r="G60" s="49">
        <f t="shared" si="15"/>
        <v>23.5</v>
      </c>
      <c r="H60" s="43">
        <f t="shared" si="14"/>
        <v>493.5</v>
      </c>
      <c r="I60" s="39">
        <f t="shared" si="17"/>
        <v>197400</v>
      </c>
    </row>
    <row r="61" spans="1:9" ht="12.5" customHeight="1" x14ac:dyDescent="0.35">
      <c r="A61" s="40"/>
      <c r="B61" s="45" t="s">
        <v>93</v>
      </c>
      <c r="C61" s="55"/>
      <c r="D61" s="56"/>
      <c r="E61" s="50"/>
      <c r="F61" s="49"/>
      <c r="G61" s="49">
        <f t="shared" si="15"/>
        <v>0</v>
      </c>
      <c r="H61" s="43">
        <f t="shared" si="14"/>
        <v>0</v>
      </c>
      <c r="I61" s="39">
        <f t="shared" si="17"/>
        <v>0</v>
      </c>
    </row>
    <row r="62" spans="1:9" ht="13.5" customHeight="1" x14ac:dyDescent="0.35">
      <c r="A62" s="40">
        <f>A60+1</f>
        <v>37</v>
      </c>
      <c r="B62" s="45" t="s">
        <v>70</v>
      </c>
      <c r="C62" s="55">
        <v>0</v>
      </c>
      <c r="D62" s="56">
        <v>0</v>
      </c>
      <c r="E62" s="50">
        <f>+C62+D62</f>
        <v>0</v>
      </c>
      <c r="F62" s="49">
        <v>470</v>
      </c>
      <c r="G62" s="49">
        <f t="shared" si="15"/>
        <v>23.5</v>
      </c>
      <c r="H62" s="43">
        <f t="shared" si="14"/>
        <v>493.5</v>
      </c>
      <c r="I62" s="39">
        <f t="shared" si="17"/>
        <v>0</v>
      </c>
    </row>
    <row r="63" spans="1:9" ht="11.75" customHeight="1" x14ac:dyDescent="0.35">
      <c r="A63" s="40">
        <f>A62+1</f>
        <v>38</v>
      </c>
      <c r="B63" s="45" t="s">
        <v>71</v>
      </c>
      <c r="C63" s="55">
        <v>0</v>
      </c>
      <c r="D63" s="56">
        <v>0</v>
      </c>
      <c r="E63" s="50">
        <f>+C63+D63</f>
        <v>0</v>
      </c>
      <c r="F63" s="49">
        <v>470</v>
      </c>
      <c r="G63" s="49">
        <f t="shared" si="15"/>
        <v>23.5</v>
      </c>
      <c r="H63" s="43">
        <f t="shared" si="14"/>
        <v>493.5</v>
      </c>
      <c r="I63" s="39">
        <f t="shared" si="17"/>
        <v>0</v>
      </c>
    </row>
    <row r="64" spans="1:9" ht="11.75" customHeight="1" x14ac:dyDescent="0.35">
      <c r="A64" s="40">
        <f t="shared" ref="A64" si="18">A63+1</f>
        <v>39</v>
      </c>
      <c r="B64" s="45" t="s">
        <v>72</v>
      </c>
      <c r="C64" s="55">
        <v>0</v>
      </c>
      <c r="D64" s="56">
        <v>0</v>
      </c>
      <c r="E64" s="50">
        <f>+C64+D64</f>
        <v>0</v>
      </c>
      <c r="F64" s="49">
        <v>470</v>
      </c>
      <c r="G64" s="49">
        <f t="shared" si="15"/>
        <v>23.5</v>
      </c>
      <c r="H64" s="43">
        <f t="shared" si="14"/>
        <v>493.5</v>
      </c>
      <c r="I64" s="39">
        <f t="shared" si="17"/>
        <v>0</v>
      </c>
    </row>
    <row r="65" spans="1:9" ht="11.75" customHeight="1" x14ac:dyDescent="0.35">
      <c r="A65" s="40">
        <f>A64+1</f>
        <v>40</v>
      </c>
      <c r="B65" s="45" t="s">
        <v>64</v>
      </c>
      <c r="C65" s="55">
        <v>0</v>
      </c>
      <c r="D65" s="56">
        <v>0</v>
      </c>
      <c r="E65" s="50" t="s">
        <v>103</v>
      </c>
      <c r="F65" s="49">
        <v>470</v>
      </c>
      <c r="G65" s="49">
        <f t="shared" si="15"/>
        <v>23.5</v>
      </c>
      <c r="H65" s="43">
        <f t="shared" si="14"/>
        <v>493.5</v>
      </c>
      <c r="I65" s="39">
        <f t="shared" si="17"/>
        <v>98700</v>
      </c>
    </row>
    <row r="66" spans="1:9" ht="18.5" customHeight="1" x14ac:dyDescent="0.35">
      <c r="A66" s="40"/>
      <c r="B66" s="79" t="s">
        <v>106</v>
      </c>
      <c r="C66" s="80"/>
      <c r="D66" s="81"/>
      <c r="E66" s="41"/>
      <c r="F66" s="42"/>
      <c r="G66" s="42"/>
      <c r="H66" s="43"/>
      <c r="I66" s="39">
        <f t="shared" si="17"/>
        <v>0</v>
      </c>
    </row>
    <row r="67" spans="1:9" ht="11.75" customHeight="1" x14ac:dyDescent="0.35">
      <c r="A67" s="40">
        <f>A65+1</f>
        <v>41</v>
      </c>
      <c r="B67" s="69" t="s">
        <v>0</v>
      </c>
      <c r="C67" s="82"/>
      <c r="D67" s="83"/>
      <c r="E67" s="48">
        <v>100</v>
      </c>
      <c r="F67" s="49">
        <v>470</v>
      </c>
      <c r="G67" s="49">
        <f t="shared" ref="G67:G73" si="19">+F67*5%</f>
        <v>23.5</v>
      </c>
      <c r="H67" s="43">
        <f>+F67+G67</f>
        <v>493.5</v>
      </c>
      <c r="I67" s="39">
        <f t="shared" si="17"/>
        <v>49350</v>
      </c>
    </row>
    <row r="68" spans="1:9" ht="11.75" customHeight="1" x14ac:dyDescent="0.35">
      <c r="A68" s="40"/>
      <c r="B68" s="41" t="s">
        <v>74</v>
      </c>
      <c r="C68" s="48">
        <v>100</v>
      </c>
      <c r="D68" s="48">
        <v>100</v>
      </c>
      <c r="E68" s="50">
        <f t="shared" ref="E68:E73" si="20">+C68+D68</f>
        <v>200</v>
      </c>
      <c r="F68" s="49">
        <v>470</v>
      </c>
      <c r="G68" s="49">
        <f t="shared" si="19"/>
        <v>23.5</v>
      </c>
      <c r="H68" s="43">
        <f t="shared" ref="H68:H73" si="21">+F68+G68</f>
        <v>493.5</v>
      </c>
      <c r="I68" s="39">
        <f t="shared" si="17"/>
        <v>98700</v>
      </c>
    </row>
    <row r="69" spans="1:9" ht="11.75" customHeight="1" x14ac:dyDescent="0.35">
      <c r="A69" s="40">
        <f>A67+1</f>
        <v>42</v>
      </c>
      <c r="B69" s="41" t="s">
        <v>73</v>
      </c>
      <c r="C69" s="48">
        <v>100</v>
      </c>
      <c r="D69" s="48">
        <v>100</v>
      </c>
      <c r="E69" s="50">
        <f t="shared" si="20"/>
        <v>200</v>
      </c>
      <c r="F69" s="49">
        <v>470</v>
      </c>
      <c r="G69" s="49">
        <f t="shared" si="19"/>
        <v>23.5</v>
      </c>
      <c r="H69" s="43">
        <f t="shared" si="21"/>
        <v>493.5</v>
      </c>
      <c r="I69" s="39">
        <f t="shared" si="17"/>
        <v>98700</v>
      </c>
    </row>
    <row r="70" spans="1:9" ht="11.75" customHeight="1" x14ac:dyDescent="0.35">
      <c r="A70" s="40">
        <f t="shared" ref="A70:A73" si="22">A69+1</f>
        <v>43</v>
      </c>
      <c r="B70" s="41" t="s">
        <v>75</v>
      </c>
      <c r="C70" s="48">
        <v>100</v>
      </c>
      <c r="D70" s="48">
        <v>100</v>
      </c>
      <c r="E70" s="50">
        <f t="shared" si="20"/>
        <v>200</v>
      </c>
      <c r="F70" s="49">
        <v>470</v>
      </c>
      <c r="G70" s="49">
        <f t="shared" si="19"/>
        <v>23.5</v>
      </c>
      <c r="H70" s="43">
        <f t="shared" si="21"/>
        <v>493.5</v>
      </c>
      <c r="I70" s="39">
        <f t="shared" si="17"/>
        <v>98700</v>
      </c>
    </row>
    <row r="71" spans="1:9" ht="11.75" customHeight="1" x14ac:dyDescent="0.35">
      <c r="A71" s="40">
        <f>A69+1</f>
        <v>43</v>
      </c>
      <c r="B71" s="41" t="s">
        <v>76</v>
      </c>
      <c r="C71" s="48">
        <v>100</v>
      </c>
      <c r="D71" s="48">
        <v>100</v>
      </c>
      <c r="E71" s="50">
        <f t="shared" si="20"/>
        <v>200</v>
      </c>
      <c r="F71" s="49">
        <v>470</v>
      </c>
      <c r="G71" s="49">
        <f t="shared" si="19"/>
        <v>23.5</v>
      </c>
      <c r="H71" s="43">
        <f t="shared" si="21"/>
        <v>493.5</v>
      </c>
      <c r="I71" s="39">
        <f t="shared" si="17"/>
        <v>98700</v>
      </c>
    </row>
    <row r="72" spans="1:9" ht="11.75" customHeight="1" x14ac:dyDescent="0.35">
      <c r="A72" s="40">
        <f>A71+1</f>
        <v>44</v>
      </c>
      <c r="B72" s="41" t="s">
        <v>77</v>
      </c>
      <c r="C72" s="48">
        <v>100</v>
      </c>
      <c r="D72" s="48">
        <v>100</v>
      </c>
      <c r="E72" s="50">
        <f t="shared" si="20"/>
        <v>200</v>
      </c>
      <c r="F72" s="49">
        <v>470</v>
      </c>
      <c r="G72" s="49">
        <f t="shared" si="19"/>
        <v>23.5</v>
      </c>
      <c r="H72" s="43">
        <f t="shared" si="21"/>
        <v>493.5</v>
      </c>
      <c r="I72" s="39">
        <f t="shared" si="17"/>
        <v>98700</v>
      </c>
    </row>
    <row r="73" spans="1:9" ht="11.75" customHeight="1" x14ac:dyDescent="0.35">
      <c r="A73" s="40">
        <f t="shared" si="22"/>
        <v>45</v>
      </c>
      <c r="B73" s="41" t="s">
        <v>45</v>
      </c>
      <c r="C73" s="48">
        <v>200</v>
      </c>
      <c r="D73" s="48">
        <v>200</v>
      </c>
      <c r="E73" s="50">
        <f t="shared" si="20"/>
        <v>400</v>
      </c>
      <c r="F73" s="49">
        <v>470</v>
      </c>
      <c r="G73" s="49">
        <f t="shared" si="19"/>
        <v>23.5</v>
      </c>
      <c r="H73" s="43">
        <f t="shared" si="21"/>
        <v>493.5</v>
      </c>
      <c r="I73" s="39">
        <f t="shared" si="17"/>
        <v>197400</v>
      </c>
    </row>
    <row r="74" spans="1:9" ht="13.25" customHeight="1" x14ac:dyDescent="0.35">
      <c r="A74" s="40"/>
      <c r="B74" s="79" t="s">
        <v>3</v>
      </c>
      <c r="C74" s="80"/>
      <c r="D74" s="81"/>
      <c r="E74" s="41"/>
      <c r="F74" s="42"/>
      <c r="G74" s="42"/>
      <c r="H74" s="43"/>
      <c r="I74" s="39">
        <f t="shared" si="17"/>
        <v>0</v>
      </c>
    </row>
    <row r="75" spans="1:9" x14ac:dyDescent="0.35">
      <c r="A75" s="40">
        <f>A73+1</f>
        <v>46</v>
      </c>
      <c r="B75" s="41" t="s">
        <v>18</v>
      </c>
      <c r="C75" s="48">
        <v>0</v>
      </c>
      <c r="D75" s="48">
        <v>0</v>
      </c>
      <c r="E75" s="50">
        <f t="shared" ref="E75:E85" si="23">+C75+D75</f>
        <v>0</v>
      </c>
      <c r="F75" s="49">
        <v>110</v>
      </c>
      <c r="G75" s="49">
        <f>+F75*5%</f>
        <v>5.5</v>
      </c>
      <c r="H75" s="43">
        <f t="shared" si="14"/>
        <v>115.5</v>
      </c>
      <c r="I75" s="39">
        <f t="shared" si="17"/>
        <v>0</v>
      </c>
    </row>
    <row r="76" spans="1:9" x14ac:dyDescent="0.35">
      <c r="A76" s="40">
        <f>+A75+1</f>
        <v>47</v>
      </c>
      <c r="B76" s="41" t="s">
        <v>19</v>
      </c>
      <c r="C76" s="48">
        <v>200</v>
      </c>
      <c r="D76" s="48">
        <v>200</v>
      </c>
      <c r="E76" s="50">
        <f t="shared" si="23"/>
        <v>400</v>
      </c>
      <c r="F76" s="49">
        <v>110</v>
      </c>
      <c r="G76" s="49">
        <f t="shared" ref="G76:G85" si="24">+F76*5%</f>
        <v>5.5</v>
      </c>
      <c r="H76" s="43">
        <f t="shared" ref="H76:H85" si="25">+F76+G76</f>
        <v>115.5</v>
      </c>
      <c r="I76" s="39">
        <f t="shared" si="17"/>
        <v>46200</v>
      </c>
    </row>
    <row r="77" spans="1:9" x14ac:dyDescent="0.35">
      <c r="A77" s="40">
        <f t="shared" ref="A77:A85" si="26">+A76+1</f>
        <v>48</v>
      </c>
      <c r="B77" s="41" t="s">
        <v>20</v>
      </c>
      <c r="C77" s="48">
        <v>200</v>
      </c>
      <c r="D77" s="48">
        <v>200</v>
      </c>
      <c r="E77" s="50">
        <f t="shared" si="23"/>
        <v>400</v>
      </c>
      <c r="F77" s="49">
        <v>110</v>
      </c>
      <c r="G77" s="49">
        <f t="shared" si="24"/>
        <v>5.5</v>
      </c>
      <c r="H77" s="43">
        <f t="shared" si="25"/>
        <v>115.5</v>
      </c>
      <c r="I77" s="39">
        <f t="shared" si="17"/>
        <v>46200</v>
      </c>
    </row>
    <row r="78" spans="1:9" x14ac:dyDescent="0.35">
      <c r="A78" s="40">
        <f t="shared" si="26"/>
        <v>49</v>
      </c>
      <c r="B78" s="41" t="s">
        <v>21</v>
      </c>
      <c r="C78" s="48">
        <v>200</v>
      </c>
      <c r="D78" s="48">
        <v>200</v>
      </c>
      <c r="E78" s="50">
        <f t="shared" si="23"/>
        <v>400</v>
      </c>
      <c r="F78" s="49">
        <v>110</v>
      </c>
      <c r="G78" s="49">
        <f t="shared" si="24"/>
        <v>5.5</v>
      </c>
      <c r="H78" s="43">
        <f t="shared" si="25"/>
        <v>115.5</v>
      </c>
      <c r="I78" s="39">
        <f t="shared" si="17"/>
        <v>46200</v>
      </c>
    </row>
    <row r="79" spans="1:9" x14ac:dyDescent="0.35">
      <c r="A79" s="40">
        <f t="shared" si="26"/>
        <v>50</v>
      </c>
      <c r="B79" s="41" t="s">
        <v>22</v>
      </c>
      <c r="C79" s="48">
        <v>200</v>
      </c>
      <c r="D79" s="48">
        <v>200</v>
      </c>
      <c r="E79" s="50">
        <f t="shared" si="23"/>
        <v>400</v>
      </c>
      <c r="F79" s="49">
        <v>110</v>
      </c>
      <c r="G79" s="49">
        <f t="shared" si="24"/>
        <v>5.5</v>
      </c>
      <c r="H79" s="43">
        <f t="shared" si="25"/>
        <v>115.5</v>
      </c>
      <c r="I79" s="39">
        <f t="shared" si="17"/>
        <v>46200</v>
      </c>
    </row>
    <row r="80" spans="1:9" x14ac:dyDescent="0.35">
      <c r="A80" s="40">
        <f t="shared" si="26"/>
        <v>51</v>
      </c>
      <c r="B80" s="41" t="s">
        <v>23</v>
      </c>
      <c r="C80" s="48">
        <v>50</v>
      </c>
      <c r="D80" s="48">
        <v>50</v>
      </c>
      <c r="E80" s="50">
        <f t="shared" si="23"/>
        <v>100</v>
      </c>
      <c r="F80" s="49">
        <v>110</v>
      </c>
      <c r="G80" s="49">
        <f t="shared" si="24"/>
        <v>5.5</v>
      </c>
      <c r="H80" s="43">
        <f t="shared" si="25"/>
        <v>115.5</v>
      </c>
      <c r="I80" s="39">
        <f t="shared" si="17"/>
        <v>11550</v>
      </c>
    </row>
    <row r="81" spans="1:9" x14ac:dyDescent="0.35">
      <c r="A81" s="40">
        <f t="shared" si="26"/>
        <v>52</v>
      </c>
      <c r="B81" s="41" t="s">
        <v>24</v>
      </c>
      <c r="C81" s="48">
        <v>20</v>
      </c>
      <c r="D81" s="48">
        <v>20</v>
      </c>
      <c r="E81" s="50">
        <f t="shared" si="23"/>
        <v>40</v>
      </c>
      <c r="F81" s="49">
        <v>110</v>
      </c>
      <c r="G81" s="49">
        <f t="shared" si="24"/>
        <v>5.5</v>
      </c>
      <c r="H81" s="43">
        <f t="shared" si="25"/>
        <v>115.5</v>
      </c>
      <c r="I81" s="39">
        <f t="shared" si="17"/>
        <v>4620</v>
      </c>
    </row>
    <row r="82" spans="1:9" x14ac:dyDescent="0.35">
      <c r="A82" s="40">
        <f t="shared" si="26"/>
        <v>53</v>
      </c>
      <c r="B82" s="41" t="s">
        <v>25</v>
      </c>
      <c r="C82" s="48">
        <v>20</v>
      </c>
      <c r="D82" s="48">
        <v>20</v>
      </c>
      <c r="E82" s="50">
        <f t="shared" si="23"/>
        <v>40</v>
      </c>
      <c r="F82" s="49">
        <v>110</v>
      </c>
      <c r="G82" s="49">
        <f t="shared" si="24"/>
        <v>5.5</v>
      </c>
      <c r="H82" s="43">
        <f t="shared" si="25"/>
        <v>115.5</v>
      </c>
      <c r="I82" s="39">
        <f t="shared" si="17"/>
        <v>4620</v>
      </c>
    </row>
    <row r="83" spans="1:9" x14ac:dyDescent="0.35">
      <c r="A83" s="40">
        <f t="shared" si="26"/>
        <v>54</v>
      </c>
      <c r="B83" s="41" t="s">
        <v>26</v>
      </c>
      <c r="C83" s="48">
        <v>20</v>
      </c>
      <c r="D83" s="48">
        <v>20</v>
      </c>
      <c r="E83" s="50">
        <f t="shared" si="23"/>
        <v>40</v>
      </c>
      <c r="F83" s="49">
        <v>110</v>
      </c>
      <c r="G83" s="49">
        <f t="shared" si="24"/>
        <v>5.5</v>
      </c>
      <c r="H83" s="43">
        <f t="shared" si="25"/>
        <v>115.5</v>
      </c>
      <c r="I83" s="39">
        <f t="shared" si="17"/>
        <v>4620</v>
      </c>
    </row>
    <row r="84" spans="1:9" x14ac:dyDescent="0.35">
      <c r="A84" s="40">
        <f t="shared" si="26"/>
        <v>55</v>
      </c>
      <c r="B84" s="41" t="s">
        <v>27</v>
      </c>
      <c r="C84" s="48">
        <v>200</v>
      </c>
      <c r="D84" s="48">
        <v>200</v>
      </c>
      <c r="E84" s="50">
        <f t="shared" si="23"/>
        <v>400</v>
      </c>
      <c r="F84" s="49">
        <v>110</v>
      </c>
      <c r="G84" s="49">
        <f t="shared" si="24"/>
        <v>5.5</v>
      </c>
      <c r="H84" s="43">
        <f t="shared" si="25"/>
        <v>115.5</v>
      </c>
      <c r="I84" s="39">
        <f t="shared" si="17"/>
        <v>46200</v>
      </c>
    </row>
    <row r="85" spans="1:9" x14ac:dyDescent="0.35">
      <c r="A85" s="40">
        <f t="shared" si="26"/>
        <v>56</v>
      </c>
      <c r="B85" s="41" t="s">
        <v>28</v>
      </c>
      <c r="C85" s="48">
        <v>50</v>
      </c>
      <c r="D85" s="48">
        <v>50</v>
      </c>
      <c r="E85" s="50">
        <f t="shared" si="23"/>
        <v>100</v>
      </c>
      <c r="F85" s="49">
        <v>110</v>
      </c>
      <c r="G85" s="49">
        <f t="shared" si="24"/>
        <v>5.5</v>
      </c>
      <c r="H85" s="43">
        <f t="shared" si="25"/>
        <v>115.5</v>
      </c>
      <c r="I85" s="39">
        <f t="shared" si="17"/>
        <v>11550</v>
      </c>
    </row>
    <row r="86" spans="1:9" x14ac:dyDescent="0.35">
      <c r="A86" s="40"/>
      <c r="B86" s="79" t="s">
        <v>4</v>
      </c>
      <c r="C86" s="80"/>
      <c r="D86" s="81"/>
      <c r="E86" s="41"/>
      <c r="F86" s="42"/>
      <c r="G86" s="42"/>
      <c r="H86" s="43">
        <f t="shared" si="14"/>
        <v>0</v>
      </c>
      <c r="I86" s="39">
        <f t="shared" si="17"/>
        <v>0</v>
      </c>
    </row>
    <row r="87" spans="1:9" x14ac:dyDescent="0.35">
      <c r="A87" s="40">
        <f>+A85+1</f>
        <v>57</v>
      </c>
      <c r="B87" s="41" t="s">
        <v>29</v>
      </c>
      <c r="C87" s="48">
        <v>50</v>
      </c>
      <c r="D87" s="48">
        <v>50</v>
      </c>
      <c r="E87" s="50">
        <f t="shared" ref="E87:E99" si="27">+C87+D87</f>
        <v>100</v>
      </c>
      <c r="F87" s="49">
        <v>110</v>
      </c>
      <c r="G87" s="49">
        <f>+F87*5%</f>
        <v>5.5</v>
      </c>
      <c r="H87" s="43">
        <f t="shared" si="14"/>
        <v>115.5</v>
      </c>
      <c r="I87" s="39">
        <f t="shared" si="17"/>
        <v>11550</v>
      </c>
    </row>
    <row r="88" spans="1:9" x14ac:dyDescent="0.35">
      <c r="A88" s="40">
        <f>+A87+1</f>
        <v>58</v>
      </c>
      <c r="B88" s="41" t="s">
        <v>30</v>
      </c>
      <c r="C88" s="48">
        <v>50</v>
      </c>
      <c r="D88" s="48">
        <v>50</v>
      </c>
      <c r="E88" s="50">
        <f t="shared" si="27"/>
        <v>100</v>
      </c>
      <c r="F88" s="49">
        <v>110</v>
      </c>
      <c r="G88" s="49">
        <f t="shared" ref="G88:G99" si="28">+F88*5%</f>
        <v>5.5</v>
      </c>
      <c r="H88" s="43">
        <f t="shared" ref="H88:H99" si="29">+F88+G88</f>
        <v>115.5</v>
      </c>
      <c r="I88" s="39">
        <f t="shared" si="17"/>
        <v>11550</v>
      </c>
    </row>
    <row r="89" spans="1:9" x14ac:dyDescent="0.35">
      <c r="A89" s="40">
        <f t="shared" ref="A89:A99" si="30">+A88+1</f>
        <v>59</v>
      </c>
      <c r="B89" s="41" t="s">
        <v>31</v>
      </c>
      <c r="C89" s="48">
        <v>200</v>
      </c>
      <c r="D89" s="48">
        <v>200</v>
      </c>
      <c r="E89" s="50">
        <f t="shared" si="27"/>
        <v>400</v>
      </c>
      <c r="F89" s="49">
        <v>110</v>
      </c>
      <c r="G89" s="49">
        <f t="shared" si="28"/>
        <v>5.5</v>
      </c>
      <c r="H89" s="43">
        <f t="shared" si="29"/>
        <v>115.5</v>
      </c>
      <c r="I89" s="39">
        <f t="shared" si="17"/>
        <v>46200</v>
      </c>
    </row>
    <row r="90" spans="1:9" x14ac:dyDescent="0.35">
      <c r="A90" s="40">
        <f t="shared" si="30"/>
        <v>60</v>
      </c>
      <c r="B90" s="41" t="s">
        <v>32</v>
      </c>
      <c r="C90" s="48">
        <v>250</v>
      </c>
      <c r="D90" s="48">
        <v>250</v>
      </c>
      <c r="E90" s="50">
        <f t="shared" si="27"/>
        <v>500</v>
      </c>
      <c r="F90" s="49">
        <v>110</v>
      </c>
      <c r="G90" s="49">
        <f t="shared" si="28"/>
        <v>5.5</v>
      </c>
      <c r="H90" s="43">
        <f t="shared" si="29"/>
        <v>115.5</v>
      </c>
      <c r="I90" s="39">
        <f t="shared" si="17"/>
        <v>57750</v>
      </c>
    </row>
    <row r="91" spans="1:9" x14ac:dyDescent="0.35">
      <c r="A91" s="40">
        <f t="shared" si="30"/>
        <v>61</v>
      </c>
      <c r="B91" s="41" t="s">
        <v>33</v>
      </c>
      <c r="C91" s="48">
        <v>150</v>
      </c>
      <c r="D91" s="48">
        <v>150</v>
      </c>
      <c r="E91" s="50">
        <f t="shared" si="27"/>
        <v>300</v>
      </c>
      <c r="F91" s="49">
        <v>110</v>
      </c>
      <c r="G91" s="49">
        <f t="shared" si="28"/>
        <v>5.5</v>
      </c>
      <c r="H91" s="43">
        <f t="shared" si="29"/>
        <v>115.5</v>
      </c>
      <c r="I91" s="39">
        <f t="shared" ref="I91:I99" si="31">+E91*H91</f>
        <v>34650</v>
      </c>
    </row>
    <row r="92" spans="1:9" x14ac:dyDescent="0.35">
      <c r="A92" s="40">
        <f t="shared" si="30"/>
        <v>62</v>
      </c>
      <c r="B92" s="41" t="s">
        <v>34</v>
      </c>
      <c r="C92" s="48">
        <v>20</v>
      </c>
      <c r="D92" s="48">
        <v>40</v>
      </c>
      <c r="E92" s="50">
        <f t="shared" si="27"/>
        <v>60</v>
      </c>
      <c r="F92" s="49">
        <v>110</v>
      </c>
      <c r="G92" s="49">
        <f t="shared" si="28"/>
        <v>5.5</v>
      </c>
      <c r="H92" s="43">
        <f t="shared" si="29"/>
        <v>115.5</v>
      </c>
      <c r="I92" s="39">
        <f t="shared" si="31"/>
        <v>6930</v>
      </c>
    </row>
    <row r="93" spans="1:9" x14ac:dyDescent="0.35">
      <c r="A93" s="40">
        <f t="shared" si="30"/>
        <v>63</v>
      </c>
      <c r="B93" s="41" t="s">
        <v>11</v>
      </c>
      <c r="C93" s="48">
        <v>20</v>
      </c>
      <c r="D93" s="48">
        <v>20</v>
      </c>
      <c r="E93" s="50">
        <f t="shared" si="27"/>
        <v>40</v>
      </c>
      <c r="F93" s="49">
        <v>110</v>
      </c>
      <c r="G93" s="49">
        <f t="shared" si="28"/>
        <v>5.5</v>
      </c>
      <c r="H93" s="43">
        <f t="shared" si="29"/>
        <v>115.5</v>
      </c>
      <c r="I93" s="39">
        <f t="shared" si="31"/>
        <v>4620</v>
      </c>
    </row>
    <row r="94" spans="1:9" x14ac:dyDescent="0.35">
      <c r="A94" s="40">
        <f t="shared" si="30"/>
        <v>64</v>
      </c>
      <c r="B94" s="41" t="s">
        <v>12</v>
      </c>
      <c r="C94" s="48">
        <v>20</v>
      </c>
      <c r="D94" s="48">
        <v>20</v>
      </c>
      <c r="E94" s="50">
        <f t="shared" si="27"/>
        <v>40</v>
      </c>
      <c r="F94" s="49">
        <v>110</v>
      </c>
      <c r="G94" s="49">
        <f t="shared" si="28"/>
        <v>5.5</v>
      </c>
      <c r="H94" s="43">
        <f t="shared" si="29"/>
        <v>115.5</v>
      </c>
      <c r="I94" s="39">
        <f t="shared" si="31"/>
        <v>4620</v>
      </c>
    </row>
    <row r="95" spans="1:9" x14ac:dyDescent="0.35">
      <c r="A95" s="40">
        <f t="shared" si="30"/>
        <v>65</v>
      </c>
      <c r="B95" s="41" t="s">
        <v>13</v>
      </c>
      <c r="C95" s="48">
        <v>20</v>
      </c>
      <c r="D95" s="48">
        <v>20</v>
      </c>
      <c r="E95" s="50">
        <f t="shared" si="27"/>
        <v>40</v>
      </c>
      <c r="F95" s="49">
        <v>110</v>
      </c>
      <c r="G95" s="49">
        <f t="shared" si="28"/>
        <v>5.5</v>
      </c>
      <c r="H95" s="43">
        <f t="shared" si="29"/>
        <v>115.5</v>
      </c>
      <c r="I95" s="39">
        <f t="shared" si="31"/>
        <v>4620</v>
      </c>
    </row>
    <row r="96" spans="1:9" x14ac:dyDescent="0.35">
      <c r="A96" s="40">
        <f t="shared" si="30"/>
        <v>66</v>
      </c>
      <c r="B96" s="41" t="s">
        <v>14</v>
      </c>
      <c r="C96" s="48">
        <v>0</v>
      </c>
      <c r="D96" s="48">
        <v>0</v>
      </c>
      <c r="E96" s="50">
        <f t="shared" si="27"/>
        <v>0</v>
      </c>
      <c r="F96" s="49">
        <v>110</v>
      </c>
      <c r="G96" s="49">
        <f t="shared" si="28"/>
        <v>5.5</v>
      </c>
      <c r="H96" s="43">
        <f t="shared" si="29"/>
        <v>115.5</v>
      </c>
      <c r="I96" s="39">
        <f t="shared" si="31"/>
        <v>0</v>
      </c>
    </row>
    <row r="97" spans="1:9" x14ac:dyDescent="0.35">
      <c r="A97" s="40">
        <f t="shared" si="30"/>
        <v>67</v>
      </c>
      <c r="B97" s="41" t="s">
        <v>15</v>
      </c>
      <c r="C97" s="48">
        <v>0</v>
      </c>
      <c r="D97" s="48">
        <v>0</v>
      </c>
      <c r="E97" s="50">
        <f t="shared" si="27"/>
        <v>0</v>
      </c>
      <c r="F97" s="49">
        <v>110</v>
      </c>
      <c r="G97" s="49">
        <f t="shared" si="28"/>
        <v>5.5</v>
      </c>
      <c r="H97" s="43">
        <f t="shared" si="29"/>
        <v>115.5</v>
      </c>
      <c r="I97" s="39">
        <f t="shared" si="31"/>
        <v>0</v>
      </c>
    </row>
    <row r="98" spans="1:9" x14ac:dyDescent="0.35">
      <c r="A98" s="40">
        <f t="shared" si="30"/>
        <v>68</v>
      </c>
      <c r="B98" s="41" t="s">
        <v>35</v>
      </c>
      <c r="C98" s="48">
        <v>500</v>
      </c>
      <c r="D98" s="48">
        <v>500</v>
      </c>
      <c r="E98" s="50">
        <f t="shared" si="27"/>
        <v>1000</v>
      </c>
      <c r="F98" s="49">
        <v>110</v>
      </c>
      <c r="G98" s="49">
        <f t="shared" si="28"/>
        <v>5.5</v>
      </c>
      <c r="H98" s="43">
        <f t="shared" si="29"/>
        <v>115.5</v>
      </c>
      <c r="I98" s="39">
        <f t="shared" si="31"/>
        <v>115500</v>
      </c>
    </row>
    <row r="99" spans="1:9" x14ac:dyDescent="0.35">
      <c r="A99" s="40">
        <f t="shared" si="30"/>
        <v>69</v>
      </c>
      <c r="B99" s="41" t="s">
        <v>16</v>
      </c>
      <c r="C99" s="48">
        <v>50</v>
      </c>
      <c r="D99" s="48">
        <v>50</v>
      </c>
      <c r="E99" s="50">
        <f t="shared" si="27"/>
        <v>100</v>
      </c>
      <c r="F99" s="49">
        <v>110</v>
      </c>
      <c r="G99" s="49">
        <f t="shared" si="28"/>
        <v>5.5</v>
      </c>
      <c r="H99" s="43">
        <f t="shared" si="29"/>
        <v>115.5</v>
      </c>
      <c r="I99" s="39">
        <f t="shared" si="31"/>
        <v>11550</v>
      </c>
    </row>
    <row r="100" spans="1:9" ht="15.5" x14ac:dyDescent="0.35">
      <c r="A100" s="57"/>
      <c r="B100" s="73" t="s">
        <v>41</v>
      </c>
      <c r="C100" s="74"/>
      <c r="D100" s="75"/>
      <c r="E100" s="58">
        <f>SUM(E16:E99)</f>
        <v>15000</v>
      </c>
      <c r="F100" s="59"/>
      <c r="G100" s="59"/>
      <c r="H100" s="59"/>
      <c r="I100" s="60">
        <v>5512500</v>
      </c>
    </row>
    <row r="101" spans="1:9" ht="15.5" x14ac:dyDescent="0.35">
      <c r="A101" s="84" t="s">
        <v>42</v>
      </c>
      <c r="B101" s="85"/>
      <c r="C101" s="85"/>
      <c r="D101" s="85"/>
      <c r="E101" s="85"/>
      <c r="F101" s="85"/>
      <c r="G101" s="85"/>
      <c r="H101" s="86"/>
      <c r="I101" s="60">
        <v>0</v>
      </c>
    </row>
    <row r="102" spans="1:9" ht="15.5" x14ac:dyDescent="0.35">
      <c r="A102" s="71" t="s">
        <v>5</v>
      </c>
      <c r="B102" s="72"/>
      <c r="C102" s="72"/>
      <c r="D102" s="72"/>
      <c r="E102" s="72"/>
      <c r="F102" s="72"/>
      <c r="G102" s="72"/>
      <c r="H102" s="72"/>
      <c r="I102" s="60">
        <f>+I100+I101</f>
        <v>5512500</v>
      </c>
    </row>
    <row r="103" spans="1:9" x14ac:dyDescent="0.35">
      <c r="A103" s="61"/>
      <c r="F103" s="62"/>
      <c r="G103" s="62"/>
      <c r="I103" s="6"/>
    </row>
    <row r="104" spans="1:9" x14ac:dyDescent="0.35">
      <c r="A104" s="61" t="s">
        <v>43</v>
      </c>
      <c r="F104" s="62"/>
      <c r="G104" s="62"/>
      <c r="I104" s="6"/>
    </row>
    <row r="105" spans="1:9" x14ac:dyDescent="0.35">
      <c r="A105" s="63"/>
      <c r="F105" s="62"/>
      <c r="G105" s="62"/>
      <c r="I105" s="16"/>
    </row>
    <row r="106" spans="1:9" x14ac:dyDescent="0.35">
      <c r="A106" s="7" t="s">
        <v>39</v>
      </c>
      <c r="B106" s="28"/>
      <c r="F106" s="62"/>
      <c r="G106" s="62"/>
      <c r="I106" s="6"/>
    </row>
    <row r="107" spans="1:9" x14ac:dyDescent="0.35">
      <c r="A107" s="8" t="s">
        <v>55</v>
      </c>
      <c r="F107" s="62"/>
      <c r="G107" s="62"/>
      <c r="I107" s="6"/>
    </row>
    <row r="108" spans="1:9" x14ac:dyDescent="0.35">
      <c r="A108" s="8" t="s">
        <v>56</v>
      </c>
      <c r="F108" s="64" t="s">
        <v>87</v>
      </c>
      <c r="G108" s="62"/>
      <c r="I108" s="6"/>
    </row>
    <row r="109" spans="1:9" x14ac:dyDescent="0.35">
      <c r="A109" s="8" t="s">
        <v>57</v>
      </c>
      <c r="F109" s="64"/>
      <c r="G109" s="62"/>
      <c r="I109" s="6"/>
    </row>
    <row r="110" spans="1:9" x14ac:dyDescent="0.35">
      <c r="A110" s="8" t="s">
        <v>58</v>
      </c>
      <c r="F110" s="64" t="s">
        <v>40</v>
      </c>
      <c r="G110" s="62"/>
      <c r="I110" s="6"/>
    </row>
    <row r="111" spans="1:9" ht="15" thickBot="1" x14ac:dyDescent="0.4">
      <c r="A111" s="15"/>
      <c r="B111" s="9"/>
      <c r="C111" s="65"/>
      <c r="D111" s="65"/>
      <c r="E111" s="65"/>
      <c r="F111" s="66"/>
      <c r="G111" s="66"/>
      <c r="H111" s="65"/>
      <c r="I111" s="10"/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Proforma Invoice</vt:lpstr>
      <vt:lpstr>'Proforma Invoice'!Print_Area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sss</cp:lastModifiedBy>
  <cp:lastPrinted>2022-03-22T12:48:40Z</cp:lastPrinted>
  <dcterms:created xsi:type="dcterms:W3CDTF">2021-01-07T12:09:39Z</dcterms:created>
  <dcterms:modified xsi:type="dcterms:W3CDTF">2025-10-23T08:50:14Z</dcterms:modified>
</cp:coreProperties>
</file>