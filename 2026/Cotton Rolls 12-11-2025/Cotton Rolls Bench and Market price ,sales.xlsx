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Cotton Rolls 12-11-2025\"/>
    </mc:Choice>
  </mc:AlternateContent>
  <bookViews>
    <workbookView xWindow="0" yWindow="0" windowWidth="20490" windowHeight="6825" activeTab="1"/>
  </bookViews>
  <sheets>
    <sheet name="Table 1" sheetId="1" r:id="rId1"/>
    <sheet name="Table 2" sheetId="2" r:id="rId2"/>
    <sheet name="Price list for sales" sheetId="3" r:id="rId3"/>
  </sheets>
  <calcPr calcId="162913"/>
  <fileRecoveryPr repairLoad="1"/>
</workbook>
</file>

<file path=xl/calcChain.xml><?xml version="1.0" encoding="utf-8"?>
<calcChain xmlns="http://schemas.openxmlformats.org/spreadsheetml/2006/main">
  <c r="M14" i="2" l="1"/>
  <c r="L3" i="2" l="1"/>
  <c r="BO3" i="2"/>
  <c r="BL20" i="2" l="1"/>
  <c r="BL19" i="2"/>
  <c r="BL18" i="2"/>
  <c r="BL17" i="2"/>
  <c r="BL16" i="2"/>
  <c r="BL15" i="2"/>
  <c r="BL14" i="2"/>
  <c r="BL13" i="2"/>
  <c r="BL12" i="2"/>
  <c r="BL11" i="2"/>
  <c r="BL10" i="2"/>
  <c r="BL9" i="2"/>
  <c r="BL8" i="2"/>
  <c r="BL7" i="2"/>
  <c r="BL6" i="2"/>
  <c r="BL5" i="2"/>
  <c r="BL4" i="2"/>
  <c r="BL3" i="2"/>
  <c r="BK20" i="2"/>
  <c r="BK19" i="2"/>
  <c r="BK18" i="2"/>
  <c r="BK17" i="2"/>
  <c r="BK16" i="2"/>
  <c r="BK15" i="2"/>
  <c r="BK14" i="2"/>
  <c r="BK13" i="2"/>
  <c r="BK12" i="2"/>
  <c r="BK11" i="2"/>
  <c r="BK10" i="2"/>
  <c r="BK9" i="2"/>
  <c r="BK8" i="2"/>
  <c r="BK7" i="2"/>
  <c r="BK6" i="2"/>
  <c r="BK5" i="2"/>
  <c r="BK4" i="2"/>
  <c r="BK3" i="2"/>
  <c r="BI20" i="2"/>
  <c r="BI19" i="2"/>
  <c r="BI18" i="2"/>
  <c r="BI17" i="2"/>
  <c r="BI16" i="2"/>
  <c r="BI15" i="2"/>
  <c r="BI14" i="2"/>
  <c r="BI13" i="2"/>
  <c r="BI12" i="2"/>
  <c r="BI11" i="2"/>
  <c r="BI10" i="2"/>
  <c r="BI9" i="2"/>
  <c r="BI8" i="2"/>
  <c r="BI7" i="2"/>
  <c r="BI6" i="2"/>
  <c r="BI5" i="2"/>
  <c r="BI4" i="2"/>
  <c r="BI3" i="2"/>
  <c r="BH20" i="2"/>
  <c r="BH19" i="2"/>
  <c r="BH18" i="2"/>
  <c r="BH17" i="2"/>
  <c r="BH16" i="2"/>
  <c r="BH15" i="2"/>
  <c r="BH14" i="2"/>
  <c r="BH13" i="2"/>
  <c r="BH12" i="2"/>
  <c r="BH11" i="2"/>
  <c r="BH10" i="2"/>
  <c r="BH9" i="2"/>
  <c r="BH8" i="2"/>
  <c r="BH7" i="2"/>
  <c r="BH6" i="2"/>
  <c r="BH5" i="2"/>
  <c r="BH4" i="2"/>
  <c r="BH3" i="2"/>
  <c r="AW19" i="2"/>
  <c r="AW11" i="2"/>
  <c r="AW3" i="2"/>
  <c r="AV19" i="2"/>
  <c r="AV13" i="2"/>
  <c r="AV11" i="2"/>
  <c r="AV5" i="2"/>
  <c r="AV3" i="2"/>
  <c r="BR13" i="2"/>
  <c r="BQ13" i="2"/>
  <c r="BQ12" i="2"/>
  <c r="BR12" i="2" s="1"/>
  <c r="BF12" i="2"/>
  <c r="BE13" i="2"/>
  <c r="BF13" i="2" s="1"/>
  <c r="BE12" i="2"/>
  <c r="AT13" i="2"/>
  <c r="AS13" i="2"/>
  <c r="AS12" i="2"/>
  <c r="AT12" i="2" s="1"/>
  <c r="AG13" i="2"/>
  <c r="AH13" i="2" s="1"/>
  <c r="AG12" i="2"/>
  <c r="AH12" i="2" s="1"/>
  <c r="U13" i="2"/>
  <c r="V13" i="2" s="1"/>
  <c r="U12" i="2"/>
  <c r="V12" i="2" s="1"/>
  <c r="L20" i="2"/>
  <c r="M20" i="2" s="1"/>
  <c r="O20" i="2" s="1"/>
  <c r="P20" i="2" s="1"/>
  <c r="L19" i="2"/>
  <c r="M19" i="2" s="1"/>
  <c r="L18" i="2"/>
  <c r="M18" i="2" s="1"/>
  <c r="AV18" i="2" s="1"/>
  <c r="L17" i="2"/>
  <c r="M17" i="2" s="1"/>
  <c r="AV17" i="2" s="1"/>
  <c r="AW17" i="2" s="1"/>
  <c r="L16" i="2"/>
  <c r="M16" i="2" s="1"/>
  <c r="L15" i="2"/>
  <c r="M15" i="2" s="1"/>
  <c r="O15" i="2" s="1"/>
  <c r="L14" i="2"/>
  <c r="L13" i="2"/>
  <c r="M13" i="2" s="1"/>
  <c r="AJ13" i="2" s="1"/>
  <c r="AK13" i="2" s="1"/>
  <c r="L12" i="2"/>
  <c r="M12" i="2" s="1"/>
  <c r="O12" i="2" s="1"/>
  <c r="P12" i="2" s="1"/>
  <c r="L11" i="2"/>
  <c r="M11" i="2" s="1"/>
  <c r="L10" i="2"/>
  <c r="M10" i="2" s="1"/>
  <c r="AV10" i="2" s="1"/>
  <c r="L9" i="2"/>
  <c r="M9" i="2" s="1"/>
  <c r="AV9" i="2" s="1"/>
  <c r="AW9" i="2" s="1"/>
  <c r="L8" i="2"/>
  <c r="M8" i="2" s="1"/>
  <c r="L7" i="2"/>
  <c r="M7" i="2" s="1"/>
  <c r="O7" i="2" s="1"/>
  <c r="L6" i="2"/>
  <c r="M6" i="2" s="1"/>
  <c r="O6" i="2" s="1"/>
  <c r="L5" i="2"/>
  <c r="M5" i="2" s="1"/>
  <c r="AJ5" i="2" s="1"/>
  <c r="AK5" i="2" s="1"/>
  <c r="L4" i="2"/>
  <c r="M4" i="2" s="1"/>
  <c r="O4" i="2" s="1"/>
  <c r="P4" i="2" s="1"/>
  <c r="M3" i="2"/>
  <c r="AJ3" i="2" s="1"/>
  <c r="R20" i="2"/>
  <c r="S20" i="2" s="1"/>
  <c r="R19" i="2"/>
  <c r="S19" i="2" s="1"/>
  <c r="R18" i="2"/>
  <c r="S18" i="2" s="1"/>
  <c r="U18" i="2" s="1"/>
  <c r="R17" i="2"/>
  <c r="S17" i="2" s="1"/>
  <c r="U17" i="2" s="1"/>
  <c r="V17" i="2" s="1"/>
  <c r="R16" i="2"/>
  <c r="S16" i="2" s="1"/>
  <c r="R15" i="2"/>
  <c r="S15" i="2" s="1"/>
  <c r="BN15" i="2" s="1"/>
  <c r="R14" i="2"/>
  <c r="S14" i="2" s="1"/>
  <c r="R11" i="2"/>
  <c r="S11" i="2" s="1"/>
  <c r="R10" i="2"/>
  <c r="S10" i="2" s="1"/>
  <c r="U10" i="2" s="1"/>
  <c r="R9" i="2"/>
  <c r="S9" i="2" s="1"/>
  <c r="U9" i="2" s="1"/>
  <c r="R8" i="2"/>
  <c r="S8" i="2" s="1"/>
  <c r="R7" i="2"/>
  <c r="S7" i="2" s="1"/>
  <c r="BN7" i="2" s="1"/>
  <c r="R6" i="2"/>
  <c r="S6" i="2" s="1"/>
  <c r="BB6" i="2" s="1"/>
  <c r="R5" i="2"/>
  <c r="S5" i="2" s="1"/>
  <c r="R4" i="2"/>
  <c r="S4" i="2" s="1"/>
  <c r="U4" i="2" s="1"/>
  <c r="V4" i="2" s="1"/>
  <c r="R3" i="2"/>
  <c r="S3" i="2" s="1"/>
  <c r="AM5" i="2" l="1"/>
  <c r="AN5" i="2"/>
  <c r="O14" i="2"/>
  <c r="AV14" i="2"/>
  <c r="AW14" i="2"/>
  <c r="AJ14" i="2"/>
  <c r="AK14" i="2" s="1"/>
  <c r="AW8" i="2"/>
  <c r="AW16" i="2"/>
  <c r="AM13" i="2"/>
  <c r="AN13" i="2"/>
  <c r="AY9" i="2"/>
  <c r="AZ9" i="2" s="1"/>
  <c r="AY17" i="2"/>
  <c r="AZ17" i="2"/>
  <c r="AZ19" i="2"/>
  <c r="AJ7" i="2"/>
  <c r="AK7" i="2" s="1"/>
  <c r="AJ15" i="2"/>
  <c r="AK15" i="2" s="1"/>
  <c r="AK6" i="2"/>
  <c r="AV4" i="2"/>
  <c r="AW4" i="2" s="1"/>
  <c r="AV12" i="2"/>
  <c r="AW12" i="2" s="1"/>
  <c r="AV20" i="2"/>
  <c r="AW20" i="2" s="1"/>
  <c r="AW10" i="2"/>
  <c r="AW18" i="2"/>
  <c r="AJ16" i="2"/>
  <c r="AK16" i="2" s="1"/>
  <c r="AK3" i="2"/>
  <c r="AJ10" i="2"/>
  <c r="AJ18" i="2"/>
  <c r="AV7" i="2"/>
  <c r="AV15" i="2"/>
  <c r="AW15" i="2" s="1"/>
  <c r="AW5" i="2"/>
  <c r="AW13" i="2"/>
  <c r="AY3" i="2"/>
  <c r="AZ3" i="2" s="1"/>
  <c r="AY11" i="2"/>
  <c r="AZ11" i="2" s="1"/>
  <c r="AY19" i="2"/>
  <c r="AJ6" i="2"/>
  <c r="AJ9" i="2"/>
  <c r="AK9" i="2" s="1"/>
  <c r="AV6" i="2"/>
  <c r="AJ11" i="2"/>
  <c r="AK11" i="2" s="1"/>
  <c r="AJ19" i="2"/>
  <c r="AK19" i="2" s="1"/>
  <c r="AK10" i="2"/>
  <c r="AK18" i="2"/>
  <c r="AV8" i="2"/>
  <c r="AV16" i="2"/>
  <c r="AW6" i="2"/>
  <c r="AJ17" i="2"/>
  <c r="AK17" i="2" s="1"/>
  <c r="AJ4" i="2"/>
  <c r="AJ12" i="2"/>
  <c r="AJ20" i="2"/>
  <c r="AW7" i="2"/>
  <c r="AJ8" i="2"/>
  <c r="AK8" i="2"/>
  <c r="AK4" i="2"/>
  <c r="AK12" i="2"/>
  <c r="AK20" i="2"/>
  <c r="U14" i="2"/>
  <c r="V14" i="2" s="1"/>
  <c r="U16" i="2"/>
  <c r="V16" i="2" s="1"/>
  <c r="O5" i="2"/>
  <c r="P5" i="2" s="1"/>
  <c r="X5" i="2"/>
  <c r="Y5" i="2" s="1"/>
  <c r="O13" i="2"/>
  <c r="P13" i="2" s="1"/>
  <c r="X13" i="2"/>
  <c r="Y13" i="2" s="1"/>
  <c r="X10" i="2"/>
  <c r="Y10" i="2" s="1"/>
  <c r="O10" i="2"/>
  <c r="P10" i="2" s="1"/>
  <c r="X16" i="2"/>
  <c r="Y16" i="2" s="1"/>
  <c r="O16" i="2"/>
  <c r="P16" i="2" s="1"/>
  <c r="X18" i="2"/>
  <c r="Y18" i="2" s="1"/>
  <c r="O18" i="2"/>
  <c r="P18" i="2" s="1"/>
  <c r="X8" i="2"/>
  <c r="Y8" i="2" s="1"/>
  <c r="O8" i="2"/>
  <c r="P8" i="2" s="1"/>
  <c r="X9" i="2"/>
  <c r="Y9" i="2" s="1"/>
  <c r="O9" i="2"/>
  <c r="P9" i="2" s="1"/>
  <c r="X17" i="2"/>
  <c r="Y17" i="2" s="1"/>
  <c r="O17" i="2"/>
  <c r="P17" i="2" s="1"/>
  <c r="O3" i="2"/>
  <c r="P3" i="2" s="1"/>
  <c r="X3" i="2"/>
  <c r="Y3" i="2" s="1"/>
  <c r="O11" i="2"/>
  <c r="P11" i="2" s="1"/>
  <c r="X11" i="2"/>
  <c r="Y11" i="2" s="1"/>
  <c r="O19" i="2"/>
  <c r="P19" i="2" s="1"/>
  <c r="X19" i="2"/>
  <c r="Y19" i="2" s="1"/>
  <c r="P6" i="2"/>
  <c r="P14" i="2"/>
  <c r="U3" i="2"/>
  <c r="V3" i="2" s="1"/>
  <c r="U11" i="2"/>
  <c r="V11" i="2" s="1"/>
  <c r="U19" i="2"/>
  <c r="V19" i="2" s="1"/>
  <c r="V9" i="2"/>
  <c r="P7" i="2"/>
  <c r="P15" i="2"/>
  <c r="U20" i="2"/>
  <c r="V20" i="2" s="1"/>
  <c r="V10" i="2"/>
  <c r="V18" i="2"/>
  <c r="X4" i="2"/>
  <c r="Y4" i="2" s="1"/>
  <c r="X12" i="2"/>
  <c r="Y12" i="2" s="1"/>
  <c r="X20" i="2"/>
  <c r="Y20" i="2" s="1"/>
  <c r="U5" i="2"/>
  <c r="V5" i="2" s="1"/>
  <c r="U6" i="2"/>
  <c r="V6" i="2" s="1"/>
  <c r="X14" i="2"/>
  <c r="Y14" i="2" s="1"/>
  <c r="X6" i="2"/>
  <c r="Y6" i="2" s="1"/>
  <c r="U7" i="2"/>
  <c r="V7" i="2" s="1"/>
  <c r="U15" i="2"/>
  <c r="V15" i="2" s="1"/>
  <c r="X7" i="2"/>
  <c r="Y7" i="2" s="1"/>
  <c r="X15" i="2"/>
  <c r="Y15" i="2" s="1"/>
  <c r="U8" i="2"/>
  <c r="V8" i="2" s="1"/>
  <c r="BN16" i="2"/>
  <c r="BO16" i="2" s="1"/>
  <c r="AP16" i="2"/>
  <c r="AQ16" i="2" s="1"/>
  <c r="BB16" i="2"/>
  <c r="BC16" i="2" s="1"/>
  <c r="AD16" i="2"/>
  <c r="AE16" i="2" s="1"/>
  <c r="BB9" i="2"/>
  <c r="BC9" i="2" s="1"/>
  <c r="BN9" i="2"/>
  <c r="BO9" i="2" s="1"/>
  <c r="AD9" i="2"/>
  <c r="AE9" i="2" s="1"/>
  <c r="AP9" i="2"/>
  <c r="AQ9" i="2" s="1"/>
  <c r="AD17" i="2"/>
  <c r="AE17" i="2" s="1"/>
  <c r="AP17" i="2"/>
  <c r="AQ17" i="2" s="1"/>
  <c r="BB17" i="2"/>
  <c r="BC17" i="2" s="1"/>
  <c r="BN17" i="2"/>
  <c r="BO17" i="2" s="1"/>
  <c r="BB10" i="2"/>
  <c r="BC10" i="2" s="1"/>
  <c r="AD10" i="2"/>
  <c r="AE10" i="2" s="1"/>
  <c r="BN10" i="2"/>
  <c r="BO10" i="2" s="1"/>
  <c r="AP10" i="2"/>
  <c r="AQ10" i="2" s="1"/>
  <c r="AP18" i="2"/>
  <c r="AQ18" i="2" s="1"/>
  <c r="BB18" i="2"/>
  <c r="BC18" i="2" s="1"/>
  <c r="AD18" i="2"/>
  <c r="AE18" i="2" s="1"/>
  <c r="BN18" i="2"/>
  <c r="BO18" i="2" s="1"/>
  <c r="BN8" i="2"/>
  <c r="BO8" i="2" s="1"/>
  <c r="AP8" i="2"/>
  <c r="AQ8" i="2" s="1"/>
  <c r="BB8" i="2"/>
  <c r="BC8" i="2" s="1"/>
  <c r="AD8" i="2"/>
  <c r="AE8" i="2" s="1"/>
  <c r="BB3" i="2"/>
  <c r="BC3" i="2" s="1"/>
  <c r="AD3" i="2"/>
  <c r="AE3" i="2" s="1"/>
  <c r="BN3" i="2"/>
  <c r="AP3" i="2"/>
  <c r="AQ3" i="2" s="1"/>
  <c r="BB11" i="2"/>
  <c r="BC11" i="2" s="1"/>
  <c r="AD11" i="2"/>
  <c r="AE11" i="2" s="1"/>
  <c r="AP11" i="2"/>
  <c r="AQ11" i="2" s="1"/>
  <c r="BN11" i="2"/>
  <c r="BO11" i="2" s="1"/>
  <c r="BB19" i="2"/>
  <c r="BC19" i="2" s="1"/>
  <c r="AD19" i="2"/>
  <c r="AE19" i="2" s="1"/>
  <c r="BN19" i="2"/>
  <c r="BO19" i="2" s="1"/>
  <c r="AP19" i="2"/>
  <c r="AQ19" i="2" s="1"/>
  <c r="BB4" i="2"/>
  <c r="BC4" i="2" s="1"/>
  <c r="BN4" i="2"/>
  <c r="BO4" i="2" s="1"/>
  <c r="AP4" i="2"/>
  <c r="AQ4" i="2" s="1"/>
  <c r="AD4" i="2"/>
  <c r="AE4" i="2" s="1"/>
  <c r="BB20" i="2"/>
  <c r="BC20" i="2" s="1"/>
  <c r="AD20" i="2"/>
  <c r="AE20" i="2" s="1"/>
  <c r="BN20" i="2"/>
  <c r="BO20" i="2" s="1"/>
  <c r="AP20" i="2"/>
  <c r="AQ20" i="2" s="1"/>
  <c r="BN5" i="2"/>
  <c r="BO5" i="2" s="1"/>
  <c r="AP5" i="2"/>
  <c r="AQ5" i="2" s="1"/>
  <c r="BB5" i="2"/>
  <c r="BC5" i="2" s="1"/>
  <c r="AD5" i="2"/>
  <c r="AE5" i="2" s="1"/>
  <c r="BO15" i="2"/>
  <c r="AD14" i="2"/>
  <c r="AE14" i="2" s="1"/>
  <c r="AD7" i="2"/>
  <c r="AE7" i="2" s="1"/>
  <c r="BB15" i="2"/>
  <c r="BC15" i="2" s="1"/>
  <c r="BO7" i="2"/>
  <c r="AD6" i="2"/>
  <c r="AE6" i="2" s="1"/>
  <c r="AD15" i="2"/>
  <c r="AE15" i="2" s="1"/>
  <c r="BB7" i="2"/>
  <c r="BC7" i="2" s="1"/>
  <c r="BC6" i="2"/>
  <c r="AP6" i="2"/>
  <c r="AQ6" i="2" s="1"/>
  <c r="AP14" i="2"/>
  <c r="AQ14" i="2" s="1"/>
  <c r="BN6" i="2"/>
  <c r="BO6" i="2" s="1"/>
  <c r="BN14" i="2"/>
  <c r="BO14" i="2" s="1"/>
  <c r="BB14" i="2"/>
  <c r="BC14" i="2" s="1"/>
  <c r="AP7" i="2"/>
  <c r="AQ7" i="2" s="1"/>
  <c r="AP15" i="2"/>
  <c r="AQ15" i="2" s="1"/>
  <c r="AM14" i="2" l="1"/>
  <c r="AN14" i="2"/>
  <c r="AM16" i="2"/>
  <c r="AN16" i="2" s="1"/>
  <c r="AM19" i="2"/>
  <c r="AN19" i="2" s="1"/>
  <c r="AM11" i="2"/>
  <c r="AN11" i="2" s="1"/>
  <c r="AM17" i="2"/>
  <c r="AN17" i="2"/>
  <c r="AY15" i="2"/>
  <c r="AZ15" i="2" s="1"/>
  <c r="AM9" i="2"/>
  <c r="AN9" i="2"/>
  <c r="AY4" i="2"/>
  <c r="AZ4" i="2" s="1"/>
  <c r="BE19" i="2"/>
  <c r="BF19" i="2" s="1"/>
  <c r="AM20" i="2"/>
  <c r="AN20" i="2" s="1"/>
  <c r="AM10" i="2"/>
  <c r="AN10" i="2"/>
  <c r="AM6" i="2"/>
  <c r="AN6" i="2" s="1"/>
  <c r="BE20" i="2"/>
  <c r="BF20" i="2" s="1"/>
  <c r="AS10" i="2"/>
  <c r="AT10" i="2"/>
  <c r="AS9" i="2"/>
  <c r="AT9" i="2"/>
  <c r="AM12" i="2"/>
  <c r="AN12" i="2" s="1"/>
  <c r="AY13" i="2"/>
  <c r="AZ13" i="2"/>
  <c r="AM3" i="2"/>
  <c r="AN3" i="2" s="1"/>
  <c r="AM15" i="2"/>
  <c r="AN15" i="2" s="1"/>
  <c r="AY14" i="2"/>
  <c r="AZ14" i="2"/>
  <c r="AS16" i="2"/>
  <c r="AT16" i="2" s="1"/>
  <c r="BE6" i="2"/>
  <c r="BF6" i="2"/>
  <c r="AS18" i="2"/>
  <c r="AT18" i="2"/>
  <c r="AS15" i="2"/>
  <c r="AT15" i="2" s="1"/>
  <c r="AS7" i="2"/>
  <c r="AT7" i="2" s="1"/>
  <c r="BQ10" i="2"/>
  <c r="BR10" i="2" s="1"/>
  <c r="AM4" i="2"/>
  <c r="AN4" i="2" s="1"/>
  <c r="AY5" i="2"/>
  <c r="AZ5" i="2"/>
  <c r="AM7" i="2"/>
  <c r="AN7" i="2" s="1"/>
  <c r="BE3" i="2"/>
  <c r="BF3" i="2" s="1"/>
  <c r="AS4" i="2"/>
  <c r="AT4" i="2" s="1"/>
  <c r="BQ4" i="2"/>
  <c r="BR4" i="2" s="1"/>
  <c r="AS8" i="2"/>
  <c r="AT8" i="2" s="1"/>
  <c r="BQ9" i="2"/>
  <c r="BR9" i="2"/>
  <c r="AY18" i="2"/>
  <c r="AZ18" i="2" s="1"/>
  <c r="AY16" i="2"/>
  <c r="AZ16" i="2" s="1"/>
  <c r="AS17" i="2"/>
  <c r="AT17" i="2"/>
  <c r="AM18" i="2"/>
  <c r="AN18" i="2"/>
  <c r="BE7" i="2"/>
  <c r="BF7" i="2" s="1"/>
  <c r="AS11" i="2"/>
  <c r="AT11" i="2" s="1"/>
  <c r="BQ5" i="2"/>
  <c r="BR5" i="2"/>
  <c r="BQ8" i="2"/>
  <c r="BR8" i="2" s="1"/>
  <c r="AM8" i="2"/>
  <c r="AN8" i="2" s="1"/>
  <c r="AY6" i="2"/>
  <c r="AZ6" i="2"/>
  <c r="AY10" i="2"/>
  <c r="AZ10" i="2" s="1"/>
  <c r="AY8" i="2"/>
  <c r="AZ8" i="2" s="1"/>
  <c r="BQ11" i="2"/>
  <c r="BR11" i="2" s="1"/>
  <c r="BE5" i="2"/>
  <c r="BF5" i="2"/>
  <c r="BE8" i="2"/>
  <c r="BF8" i="2" s="1"/>
  <c r="BE14" i="2"/>
  <c r="BF14" i="2"/>
  <c r="AS5" i="2"/>
  <c r="AT5" i="2"/>
  <c r="BQ7" i="2"/>
  <c r="BR7" i="2" s="1"/>
  <c r="BE11" i="2"/>
  <c r="BF11" i="2" s="1"/>
  <c r="BE9" i="2"/>
  <c r="BF9" i="2"/>
  <c r="BQ6" i="2"/>
  <c r="BR6" i="2"/>
  <c r="BE15" i="2"/>
  <c r="BF15" i="2" s="1"/>
  <c r="AS20" i="2"/>
  <c r="AT20" i="2" s="1"/>
  <c r="AS19" i="2"/>
  <c r="AT19" i="2" s="1"/>
  <c r="AS3" i="2"/>
  <c r="AT3" i="2" s="1"/>
  <c r="BQ18" i="2"/>
  <c r="BR18" i="2" s="1"/>
  <c r="BQ17" i="2"/>
  <c r="BR17" i="2"/>
  <c r="AY20" i="2"/>
  <c r="AZ20" i="2" s="1"/>
  <c r="AS6" i="2"/>
  <c r="AT6" i="2"/>
  <c r="BE18" i="2"/>
  <c r="BF18" i="2"/>
  <c r="AY7" i="2"/>
  <c r="AZ7" i="2" s="1"/>
  <c r="BQ15" i="2"/>
  <c r="BR15" i="2" s="1"/>
  <c r="BQ16" i="2"/>
  <c r="BR16" i="2" s="1"/>
  <c r="BQ14" i="2"/>
  <c r="BR14" i="2"/>
  <c r="BE4" i="2"/>
  <c r="BF4" i="2" s="1"/>
  <c r="BE10" i="2"/>
  <c r="BF10" i="2"/>
  <c r="AS14" i="2"/>
  <c r="AT14" i="2"/>
  <c r="BQ20" i="2"/>
  <c r="BR20" i="2" s="1"/>
  <c r="BQ19" i="2"/>
  <c r="BR19" i="2" s="1"/>
  <c r="BQ3" i="2"/>
  <c r="BR3" i="2" s="1"/>
  <c r="BE17" i="2"/>
  <c r="BF17" i="2"/>
  <c r="BE16" i="2"/>
  <c r="BF16" i="2" s="1"/>
  <c r="AY12" i="2"/>
  <c r="AZ12" i="2" s="1"/>
  <c r="AA3" i="2"/>
  <c r="AB3" i="2" s="1"/>
  <c r="AA10" i="2"/>
  <c r="AB10" i="2" s="1"/>
  <c r="AA17" i="2"/>
  <c r="AB17" i="2" s="1"/>
  <c r="AA14" i="2"/>
  <c r="AB14" i="2" s="1"/>
  <c r="AA4" i="2"/>
  <c r="AB4" i="2" s="1"/>
  <c r="AA16" i="2"/>
  <c r="AB16" i="2" s="1"/>
  <c r="AA13" i="2"/>
  <c r="AB13" i="2" s="1"/>
  <c r="AG11" i="2"/>
  <c r="AH11" i="2" s="1"/>
  <c r="AA19" i="2"/>
  <c r="AB19" i="2" s="1"/>
  <c r="AA20" i="2"/>
  <c r="AB20" i="2" s="1"/>
  <c r="AA11" i="2"/>
  <c r="AB11" i="2" s="1"/>
  <c r="AA18" i="2"/>
  <c r="AB18" i="2" s="1"/>
  <c r="AA15" i="2"/>
  <c r="AB15" i="2" s="1"/>
  <c r="AG15" i="2"/>
  <c r="AH15" i="2" s="1"/>
  <c r="AG10" i="2"/>
  <c r="AH10" i="2" s="1"/>
  <c r="AA7" i="2"/>
  <c r="AB7" i="2" s="1"/>
  <c r="AA9" i="2"/>
  <c r="AB9" i="2" s="1"/>
  <c r="AA8" i="2"/>
  <c r="AB8" i="2" s="1"/>
  <c r="AG7" i="2"/>
  <c r="AH7" i="2" s="1"/>
  <c r="AG16" i="2"/>
  <c r="AH16" i="2" s="1"/>
  <c r="AA6" i="2"/>
  <c r="AB6" i="2"/>
  <c r="AG14" i="2"/>
  <c r="AH14" i="2" s="1"/>
  <c r="AG20" i="2"/>
  <c r="AH20" i="2" s="1"/>
  <c r="AG19" i="2"/>
  <c r="AH19" i="2" s="1"/>
  <c r="AG18" i="2"/>
  <c r="AH18" i="2" s="1"/>
  <c r="AA12" i="2"/>
  <c r="AB12" i="2" s="1"/>
  <c r="AA5" i="2"/>
  <c r="AB5" i="2"/>
  <c r="AG3" i="2"/>
  <c r="AH3" i="2" s="1"/>
  <c r="AG5" i="2"/>
  <c r="AH5" i="2" s="1"/>
  <c r="AG4" i="2"/>
  <c r="AH4" i="2" s="1"/>
  <c r="AG17" i="2"/>
  <c r="AH17" i="2" s="1"/>
  <c r="AG8" i="2"/>
  <c r="AH8" i="2" s="1"/>
  <c r="AG6" i="2"/>
  <c r="AH6" i="2" s="1"/>
  <c r="AG9" i="2"/>
  <c r="AH9" i="2" s="1"/>
</calcChain>
</file>

<file path=xl/sharedStrings.xml><?xml version="1.0" encoding="utf-8"?>
<sst xmlns="http://schemas.openxmlformats.org/spreadsheetml/2006/main" count="196" uniqueCount="95">
  <si>
    <r>
      <rPr>
        <b/>
        <sz val="16.5"/>
        <color rgb="FF2E3092"/>
        <rFont val="Trebuchet MS"/>
        <family val="2"/>
      </rPr>
      <t>SRR MEDICARE INDUSTRIES</t>
    </r>
  </si>
  <si>
    <r>
      <rPr>
        <sz val="7.5"/>
        <color rgb="FF2E3092"/>
        <rFont val="Arial MT"/>
        <family val="2"/>
      </rPr>
      <t xml:space="preserve">Factory Address
</t>
    </r>
    <r>
      <rPr>
        <b/>
        <sz val="7.5"/>
        <color rgb="FFED1C24"/>
        <rFont val="Arial"/>
        <family val="2"/>
      </rPr>
      <t xml:space="preserve">SRI RAJARAJESWARI MEDICARE INDUSTRIES
</t>
    </r>
    <r>
      <rPr>
        <sz val="7.5"/>
        <color rgb="FF2E3092"/>
        <rFont val="Arial MT"/>
        <family val="2"/>
      </rPr>
      <t xml:space="preserve">Keerthipadu(vill) Maddipadu (mandal) Prakasam Dist,
</t>
    </r>
    <r>
      <rPr>
        <sz val="7.5"/>
        <color rgb="FF2E3092"/>
        <rFont val="Arial MT"/>
        <family val="2"/>
      </rPr>
      <t>Ongole</t>
    </r>
  </si>
  <si>
    <r>
      <rPr>
        <b/>
        <sz val="11"/>
        <color rgb="FFFFFFFF"/>
        <rFont val="Arial"/>
        <family val="2"/>
      </rPr>
      <t>SCOT  ABSORBENT COTTON ROLL                      GROSS WEIGHT</t>
    </r>
  </si>
  <si>
    <r>
      <rPr>
        <b/>
        <sz val="9"/>
        <color rgb="FFFFFFFF"/>
        <rFont val="Arial"/>
        <family val="2"/>
      </rPr>
      <t>UNIT/BALE</t>
    </r>
  </si>
  <si>
    <r>
      <rPr>
        <b/>
        <sz val="9"/>
        <color rgb="FFFFFFFF"/>
        <rFont val="Arial"/>
        <family val="2"/>
      </rPr>
      <t>PRICE/UNIT</t>
    </r>
  </si>
  <si>
    <r>
      <rPr>
        <b/>
        <sz val="9"/>
        <color rgb="FFFFFFFF"/>
        <rFont val="Arial"/>
        <family val="2"/>
      </rPr>
      <t>GST</t>
    </r>
  </si>
  <si>
    <r>
      <rPr>
        <b/>
        <sz val="9"/>
        <color rgb="FFFFFFFF"/>
        <rFont val="Arial"/>
        <family val="2"/>
      </rPr>
      <t>MRP</t>
    </r>
  </si>
  <si>
    <r>
      <rPr>
        <b/>
        <sz val="10.5"/>
        <color rgb="FF2E3092"/>
        <rFont val="Trebuchet MS"/>
        <family val="2"/>
      </rPr>
      <t xml:space="preserve">Cotton
</t>
    </r>
    <r>
      <rPr>
        <b/>
        <sz val="10.5"/>
        <color rgb="FF2E3092"/>
        <rFont val="Trebuchet MS"/>
        <family val="2"/>
      </rPr>
      <t xml:space="preserve">Roll
</t>
    </r>
    <r>
      <rPr>
        <b/>
        <sz val="3"/>
        <color rgb="FFED1C24"/>
        <rFont val="Arial"/>
        <family val="2"/>
      </rPr>
      <t xml:space="preserve">ABSORBENT
</t>
    </r>
    <r>
      <rPr>
        <b/>
        <sz val="3"/>
        <color rgb="FFED1C24"/>
        <rFont val="Arial"/>
        <family val="2"/>
      </rPr>
      <t xml:space="preserve">COTTON WOOL (I.P.)
</t>
    </r>
    <r>
      <rPr>
        <b/>
        <sz val="4"/>
        <color rgb="FFED1C24"/>
        <rFont val="Trebuchet MS"/>
        <family val="2"/>
      </rPr>
      <t xml:space="preserve">100
</t>
    </r>
    <r>
      <rPr>
        <b/>
        <sz val="4"/>
        <color rgb="FFED1C24"/>
        <rFont val="Trebuchet MS"/>
        <family val="2"/>
      </rPr>
      <t xml:space="preserve">%
</t>
    </r>
    <r>
      <rPr>
        <b/>
        <sz val="4"/>
        <color rgb="FFFFFFFF"/>
        <rFont val="Trebuchet MS"/>
        <family val="2"/>
      </rPr>
      <t>HIGHLY ABSORBENT COTTON</t>
    </r>
  </si>
  <si>
    <r>
      <rPr>
        <b/>
        <sz val="11"/>
        <color rgb="FFED1C24"/>
        <rFont val="Arial"/>
        <family val="2"/>
      </rPr>
      <t>COTTON ROLL</t>
    </r>
  </si>
  <si>
    <r>
      <rPr>
        <sz val="11"/>
        <color rgb="FF231F20"/>
        <rFont val="Arial MT"/>
        <family val="2"/>
      </rPr>
      <t>15/25 GM</t>
    </r>
  </si>
  <si>
    <r>
      <rPr>
        <sz val="11"/>
        <color rgb="FF231F20"/>
        <rFont val="Arial MT"/>
        <family val="2"/>
      </rPr>
      <t>16 UNITS/PACK</t>
    </r>
  </si>
  <si>
    <r>
      <rPr>
        <sz val="11"/>
        <color rgb="FF231F20"/>
        <rFont val="Arial MT"/>
        <family val="2"/>
      </rPr>
      <t>60 PACK/SHIPPER</t>
    </r>
  </si>
  <si>
    <r>
      <rPr>
        <sz val="11"/>
        <color rgb="FF231F20"/>
        <rFont val="Arial MT"/>
        <family val="2"/>
      </rPr>
      <t>40/60 GM</t>
    </r>
  </si>
  <si>
    <r>
      <rPr>
        <sz val="11"/>
        <color rgb="FF231F20"/>
        <rFont val="Arial MT"/>
        <family val="2"/>
      </rPr>
      <t>8 UNITS/PACK</t>
    </r>
  </si>
  <si>
    <r>
      <rPr>
        <sz val="11"/>
        <color rgb="FF231F20"/>
        <rFont val="Arial MT"/>
        <family val="2"/>
      </rPr>
      <t>50/70 GM</t>
    </r>
  </si>
  <si>
    <r>
      <rPr>
        <sz val="11"/>
        <color rgb="FF231F20"/>
        <rFont val="Arial MT"/>
        <family val="2"/>
      </rPr>
      <t>6 UNITS/PACK</t>
    </r>
  </si>
  <si>
    <r>
      <rPr>
        <sz val="11"/>
        <color rgb="FF231F20"/>
        <rFont val="Arial MT"/>
        <family val="2"/>
      </rPr>
      <t>70/100 GM</t>
    </r>
  </si>
  <si>
    <r>
      <rPr>
        <sz val="11"/>
        <color rgb="FF231F20"/>
        <rFont val="Arial MT"/>
        <family val="2"/>
      </rPr>
      <t>100/130GM</t>
    </r>
  </si>
  <si>
    <r>
      <rPr>
        <sz val="11"/>
        <color rgb="FF231F20"/>
        <rFont val="Arial MT"/>
        <family val="2"/>
      </rPr>
      <t>4 UNITS/PACK</t>
    </r>
  </si>
  <si>
    <r>
      <rPr>
        <sz val="11"/>
        <color rgb="FF231F20"/>
        <rFont val="Arial MT"/>
        <family val="2"/>
      </rPr>
      <t>170/200 GM</t>
    </r>
  </si>
  <si>
    <r>
      <rPr>
        <sz val="11"/>
        <color rgb="FF231F20"/>
        <rFont val="Arial MT"/>
        <family val="2"/>
      </rPr>
      <t>1 UNITS/PACK</t>
    </r>
  </si>
  <si>
    <r>
      <rPr>
        <sz val="11"/>
        <color rgb="FF231F20"/>
        <rFont val="Arial MT"/>
        <family val="2"/>
      </rPr>
      <t>100 UNIT/BALE</t>
    </r>
  </si>
  <si>
    <r>
      <rPr>
        <sz val="11"/>
        <color rgb="FF231F20"/>
        <rFont val="Arial MT"/>
        <family val="2"/>
      </rPr>
      <t>200/240 GM</t>
    </r>
  </si>
  <si>
    <r>
      <rPr>
        <sz val="11"/>
        <color rgb="FF231F20"/>
        <rFont val="Arial MT"/>
        <family val="2"/>
      </rPr>
      <t>80 UNIT/BALE</t>
    </r>
  </si>
  <si>
    <r>
      <rPr>
        <sz val="11"/>
        <color rgb="FF231F20"/>
        <rFont val="Arial MT"/>
        <family val="2"/>
      </rPr>
      <t>250/340 GM</t>
    </r>
  </si>
  <si>
    <r>
      <rPr>
        <sz val="11"/>
        <color rgb="FF231F20"/>
        <rFont val="Arial MT"/>
        <family val="2"/>
      </rPr>
      <t>60 UNIT/BALE</t>
    </r>
  </si>
  <si>
    <r>
      <rPr>
        <sz val="11"/>
        <color rgb="FF231F20"/>
        <rFont val="Arial MT"/>
        <family val="2"/>
      </rPr>
      <t>400/500 GM</t>
    </r>
  </si>
  <si>
    <r>
      <rPr>
        <b/>
        <sz val="11"/>
        <color rgb="FFFFFFFF"/>
        <rFont val="Arial"/>
        <family val="2"/>
      </rPr>
      <t>SCOT  ABSORBENT COTTON ROLL</t>
    </r>
  </si>
  <si>
    <r>
      <rPr>
        <b/>
        <sz val="11"/>
        <color rgb="FFFFFFFF"/>
        <rFont val="Arial"/>
        <family val="2"/>
      </rPr>
      <t>GROSS WEIGHT</t>
    </r>
  </si>
  <si>
    <r>
      <rPr>
        <sz val="11"/>
        <color rgb="FF231F20"/>
        <rFont val="Arial MT"/>
        <family val="2"/>
      </rPr>
      <t>20 GM</t>
    </r>
  </si>
  <si>
    <r>
      <rPr>
        <sz val="11"/>
        <color rgb="FF231F20"/>
        <rFont val="Arial MT"/>
        <family val="2"/>
      </rPr>
      <t>50 GM</t>
    </r>
  </si>
  <si>
    <r>
      <rPr>
        <sz val="11"/>
        <color rgb="FF231F20"/>
        <rFont val="Arial MT"/>
        <family val="2"/>
      </rPr>
      <t>100 GM</t>
    </r>
  </si>
  <si>
    <r>
      <rPr>
        <sz val="11"/>
        <color rgb="FF231F20"/>
        <rFont val="Arial MT"/>
        <family val="2"/>
      </rPr>
      <t>200 GM</t>
    </r>
  </si>
  <si>
    <r>
      <rPr>
        <sz val="11"/>
        <color rgb="FF231F20"/>
        <rFont val="Arial MT"/>
        <family val="2"/>
      </rPr>
      <t>120 UNIT/BALE</t>
    </r>
  </si>
  <si>
    <r>
      <rPr>
        <sz val="11"/>
        <color rgb="FF231F20"/>
        <rFont val="Arial MT"/>
        <family val="2"/>
      </rPr>
      <t>300 GM</t>
    </r>
  </si>
  <si>
    <r>
      <rPr>
        <sz val="11"/>
        <color rgb="FF231F20"/>
        <rFont val="Arial MT"/>
        <family val="2"/>
      </rPr>
      <t>400 GM</t>
    </r>
  </si>
  <si>
    <r>
      <rPr>
        <sz val="11"/>
        <color rgb="FF231F20"/>
        <rFont val="Arial MT"/>
        <family val="2"/>
      </rPr>
      <t>70 UNIT/BALE</t>
    </r>
  </si>
  <si>
    <r>
      <rPr>
        <sz val="11"/>
        <color rgb="FF231F20"/>
        <rFont val="Arial MT"/>
        <family val="2"/>
      </rPr>
      <t>500 GM</t>
    </r>
  </si>
  <si>
    <t>Bench 2%</t>
  </si>
  <si>
    <t>Market 1%</t>
  </si>
  <si>
    <t>Amtz Price</t>
  </si>
  <si>
    <t xml:space="preserve">2% Market </t>
  </si>
  <si>
    <t xml:space="preserve">3% Total Price </t>
  </si>
  <si>
    <t>4% Total</t>
  </si>
  <si>
    <t>GST 5%</t>
  </si>
  <si>
    <t>Incl of GST</t>
  </si>
  <si>
    <t>Incl Of GST</t>
  </si>
  <si>
    <t>GST5%</t>
  </si>
  <si>
    <t>Bench 2%            Unit /Bale</t>
  </si>
  <si>
    <t>Amt</t>
  </si>
  <si>
    <t>Lot Price</t>
  </si>
  <si>
    <t>Market 2%</t>
  </si>
  <si>
    <t xml:space="preserve">Incl of GST </t>
  </si>
  <si>
    <t>Total price</t>
  </si>
  <si>
    <t>Total Price</t>
  </si>
  <si>
    <r>
      <rPr>
        <b/>
        <sz val="8"/>
        <color rgb="FFFFFFFF"/>
        <rFont val="Times New Roman"/>
        <family val="1"/>
      </rPr>
      <t>SCOT  ABSORBENT COTTON ROLL                      GROSS WEIGHT</t>
    </r>
  </si>
  <si>
    <r>
      <rPr>
        <b/>
        <sz val="8"/>
        <color rgb="FFFFFFFF"/>
        <rFont val="Times New Roman"/>
        <family val="1"/>
      </rPr>
      <t>GST</t>
    </r>
  </si>
  <si>
    <r>
      <rPr>
        <b/>
        <sz val="8"/>
        <color rgb="FFFFFFFF"/>
        <rFont val="Times New Roman"/>
        <family val="1"/>
      </rPr>
      <t>MRP</t>
    </r>
  </si>
  <si>
    <r>
      <rPr>
        <b/>
        <sz val="8"/>
        <color rgb="FF2E3092"/>
        <rFont val="Times New Roman"/>
        <family val="1"/>
      </rPr>
      <t xml:space="preserve">Cotton
Roll
</t>
    </r>
    <r>
      <rPr>
        <b/>
        <sz val="8"/>
        <color rgb="FFED1C24"/>
        <rFont val="Times New Roman"/>
        <family val="1"/>
      </rPr>
      <t xml:space="preserve">ABSORBENT
COTTON WOOL (I.P.)
100
%
</t>
    </r>
    <r>
      <rPr>
        <b/>
        <sz val="8"/>
        <color rgb="FFFFFFFF"/>
        <rFont val="Times New Roman"/>
        <family val="1"/>
      </rPr>
      <t>HIGHLY ABSORBENT COTTON</t>
    </r>
  </si>
  <si>
    <r>
      <rPr>
        <b/>
        <sz val="8"/>
        <color rgb="FFED1C24"/>
        <rFont val="Times New Roman"/>
        <family val="1"/>
      </rPr>
      <t>COTTON ROLL</t>
    </r>
  </si>
  <si>
    <r>
      <rPr>
        <sz val="8"/>
        <color rgb="FF231F20"/>
        <rFont val="Times New Roman"/>
        <family val="1"/>
      </rPr>
      <t>15/25 GM</t>
    </r>
  </si>
  <si>
    <r>
      <rPr>
        <sz val="8"/>
        <color rgb="FF231F20"/>
        <rFont val="Times New Roman"/>
        <family val="1"/>
      </rPr>
      <t>16 UNITS/PACK</t>
    </r>
  </si>
  <si>
    <r>
      <rPr>
        <sz val="8"/>
        <color rgb="FF231F20"/>
        <rFont val="Times New Roman"/>
        <family val="1"/>
      </rPr>
      <t>60 PACK/SHIPPER</t>
    </r>
  </si>
  <si>
    <r>
      <rPr>
        <sz val="8"/>
        <color rgb="FF231F20"/>
        <rFont val="Times New Roman"/>
        <family val="1"/>
      </rPr>
      <t>40/60 GM</t>
    </r>
  </si>
  <si>
    <r>
      <rPr>
        <sz val="8"/>
        <color rgb="FF231F20"/>
        <rFont val="Times New Roman"/>
        <family val="1"/>
      </rPr>
      <t>8 UNITS/PACK</t>
    </r>
  </si>
  <si>
    <r>
      <rPr>
        <sz val="8"/>
        <color rgb="FF231F20"/>
        <rFont val="Times New Roman"/>
        <family val="1"/>
      </rPr>
      <t>50/70 GM</t>
    </r>
  </si>
  <si>
    <r>
      <rPr>
        <sz val="8"/>
        <color rgb="FF231F20"/>
        <rFont val="Times New Roman"/>
        <family val="1"/>
      </rPr>
      <t>6 UNITS/PACK</t>
    </r>
  </si>
  <si>
    <r>
      <rPr>
        <sz val="8"/>
        <color rgb="FF231F20"/>
        <rFont val="Times New Roman"/>
        <family val="1"/>
      </rPr>
      <t>70/100 GM</t>
    </r>
  </si>
  <si>
    <r>
      <rPr>
        <sz val="8"/>
        <color rgb="FF231F20"/>
        <rFont val="Times New Roman"/>
        <family val="1"/>
      </rPr>
      <t>100/130GM</t>
    </r>
  </si>
  <si>
    <r>
      <rPr>
        <sz val="8"/>
        <color rgb="FF231F20"/>
        <rFont val="Times New Roman"/>
        <family val="1"/>
      </rPr>
      <t>4 UNITS/PACK</t>
    </r>
  </si>
  <si>
    <r>
      <rPr>
        <sz val="8"/>
        <color rgb="FF231F20"/>
        <rFont val="Times New Roman"/>
        <family val="1"/>
      </rPr>
      <t>170/200 GM</t>
    </r>
  </si>
  <si>
    <r>
      <rPr>
        <sz val="8"/>
        <color rgb="FF231F20"/>
        <rFont val="Times New Roman"/>
        <family val="1"/>
      </rPr>
      <t>1 UNITS/PACK</t>
    </r>
  </si>
  <si>
    <r>
      <rPr>
        <sz val="8"/>
        <color rgb="FF231F20"/>
        <rFont val="Times New Roman"/>
        <family val="1"/>
      </rPr>
      <t>100 UNIT/BALE</t>
    </r>
  </si>
  <si>
    <r>
      <rPr>
        <sz val="8"/>
        <color rgb="FF231F20"/>
        <rFont val="Times New Roman"/>
        <family val="1"/>
      </rPr>
      <t>200/240 GM</t>
    </r>
  </si>
  <si>
    <r>
      <rPr>
        <sz val="8"/>
        <color rgb="FF231F20"/>
        <rFont val="Times New Roman"/>
        <family val="1"/>
      </rPr>
      <t>80 UNIT/BALE</t>
    </r>
  </si>
  <si>
    <r>
      <rPr>
        <sz val="8"/>
        <color rgb="FF231F20"/>
        <rFont val="Times New Roman"/>
        <family val="1"/>
      </rPr>
      <t>250/340 GM</t>
    </r>
  </si>
  <si>
    <r>
      <rPr>
        <sz val="8"/>
        <color rgb="FF231F20"/>
        <rFont val="Times New Roman"/>
        <family val="1"/>
      </rPr>
      <t>60 UNIT/BALE</t>
    </r>
  </si>
  <si>
    <r>
      <rPr>
        <sz val="8"/>
        <color rgb="FF231F20"/>
        <rFont val="Times New Roman"/>
        <family val="1"/>
      </rPr>
      <t>400/500 GM</t>
    </r>
  </si>
  <si>
    <r>
      <rPr>
        <b/>
        <sz val="8"/>
        <color rgb="FFFFFFFF"/>
        <rFont val="Times New Roman"/>
        <family val="1"/>
      </rPr>
      <t>SCOT  ABSORBENT COTTON ROLL</t>
    </r>
  </si>
  <si>
    <r>
      <rPr>
        <b/>
        <sz val="8"/>
        <color rgb="FFFFFFFF"/>
        <rFont val="Times New Roman"/>
        <family val="1"/>
      </rPr>
      <t>GROSS WEIGHT</t>
    </r>
  </si>
  <si>
    <r>
      <rPr>
        <b/>
        <sz val="8"/>
        <color rgb="FFFFFFFF"/>
        <rFont val="Times New Roman"/>
        <family val="1"/>
      </rPr>
      <t>UNIT/BALE</t>
    </r>
  </si>
  <si>
    <r>
      <rPr>
        <b/>
        <sz val="8"/>
        <color rgb="FFFFFFFF"/>
        <rFont val="Times New Roman"/>
        <family val="1"/>
      </rPr>
      <t>PRICE/UNIT</t>
    </r>
  </si>
  <si>
    <r>
      <rPr>
        <sz val="8"/>
        <color rgb="FF231F20"/>
        <rFont val="Times New Roman"/>
        <family val="1"/>
      </rPr>
      <t>20 GM</t>
    </r>
  </si>
  <si>
    <r>
      <rPr>
        <sz val="8"/>
        <color rgb="FF231F20"/>
        <rFont val="Times New Roman"/>
        <family val="1"/>
      </rPr>
      <t>50 GM</t>
    </r>
  </si>
  <si>
    <r>
      <rPr>
        <sz val="8"/>
        <color rgb="FF231F20"/>
        <rFont val="Times New Roman"/>
        <family val="1"/>
      </rPr>
      <t>100 GM</t>
    </r>
  </si>
  <si>
    <r>
      <rPr>
        <sz val="8"/>
        <color rgb="FF231F20"/>
        <rFont val="Times New Roman"/>
        <family val="1"/>
      </rPr>
      <t>200 GM</t>
    </r>
  </si>
  <si>
    <r>
      <rPr>
        <sz val="8"/>
        <color rgb="FF231F20"/>
        <rFont val="Times New Roman"/>
        <family val="1"/>
      </rPr>
      <t>120 UNIT/BALE</t>
    </r>
  </si>
  <si>
    <r>
      <rPr>
        <sz val="8"/>
        <color rgb="FF231F20"/>
        <rFont val="Times New Roman"/>
        <family val="1"/>
      </rPr>
      <t>300 GM</t>
    </r>
  </si>
  <si>
    <r>
      <rPr>
        <sz val="8"/>
        <color rgb="FF231F20"/>
        <rFont val="Times New Roman"/>
        <family val="1"/>
      </rPr>
      <t>400 GM</t>
    </r>
  </si>
  <si>
    <r>
      <rPr>
        <sz val="8"/>
        <color rgb="FF231F20"/>
        <rFont val="Times New Roman"/>
        <family val="1"/>
      </rPr>
      <t>70 UNIT/BALE</t>
    </r>
  </si>
  <si>
    <r>
      <rPr>
        <sz val="8"/>
        <color rgb="FF231F20"/>
        <rFont val="Times New Roman"/>
        <family val="1"/>
      </rPr>
      <t>500 GM</t>
    </r>
  </si>
  <si>
    <t>PRICE/UNIT</t>
  </si>
  <si>
    <t>MRP</t>
  </si>
  <si>
    <t>Price/Unit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</si>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</sst>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.00"/>
  </numFmts>
  <fonts count="27">
    <font>
      <sz val="10"/>
      <color rgb="FF000000"/>
      <name val="Times New Roman"/>
      <charset val="204"/>
    </font>
    <font>
      <b/>
      <sz val="16.5"/>
      <name val="Trebuchet MS"/>
    </font>
    <font>
      <b/>
      <sz val="11"/>
      <name val="Arial"/>
    </font>
    <font>
      <b/>
      <sz val="9"/>
      <name val="Arial"/>
    </font>
    <font>
      <sz val="11"/>
      <name val="Arial MT"/>
    </font>
    <font>
      <sz val="11"/>
      <color rgb="FF231F20"/>
      <name val="Arial MT"/>
      <family val="2"/>
    </font>
    <font>
      <b/>
      <sz val="16.5"/>
      <color rgb="FF2E3092"/>
      <name val="Trebuchet MS"/>
      <family val="2"/>
    </font>
    <font>
      <sz val="7.5"/>
      <color rgb="FF2E3092"/>
      <name val="Arial MT"/>
      <family val="2"/>
    </font>
    <font>
      <b/>
      <sz val="7.5"/>
      <color rgb="FFED1C24"/>
      <name val="Arial"/>
      <family val="2"/>
    </font>
    <font>
      <b/>
      <sz val="11"/>
      <color rgb="FFFFFFFF"/>
      <name val="Arial"/>
      <family val="2"/>
    </font>
    <font>
      <b/>
      <sz val="9"/>
      <color rgb="FFFFFFFF"/>
      <name val="Arial"/>
      <family val="2"/>
    </font>
    <font>
      <b/>
      <sz val="10.5"/>
      <color rgb="FF2E3092"/>
      <name val="Trebuchet MS"/>
      <family val="2"/>
    </font>
    <font>
      <b/>
      <sz val="3"/>
      <color rgb="FFED1C24"/>
      <name val="Arial"/>
      <family val="2"/>
    </font>
    <font>
      <b/>
      <sz val="4"/>
      <color rgb="FFED1C24"/>
      <name val="Trebuchet MS"/>
      <family val="2"/>
    </font>
    <font>
      <b/>
      <sz val="4"/>
      <color rgb="FFFFFFFF"/>
      <name val="Trebuchet MS"/>
      <family val="2"/>
    </font>
    <font>
      <b/>
      <sz val="11"/>
      <color rgb="FFED1C24"/>
      <name val="Arial"/>
      <family val="2"/>
    </font>
    <font>
      <sz val="10"/>
      <color rgb="FF000000"/>
      <name val="Times New Roman"/>
      <charset val="204"/>
    </font>
    <font>
      <sz val="10"/>
      <color rgb="FF000000"/>
      <name val="Times New Roman"/>
      <family val="1"/>
    </font>
    <font>
      <b/>
      <sz val="8"/>
      <name val="Times New Roman"/>
      <family val="1"/>
    </font>
    <font>
      <b/>
      <sz val="8"/>
      <color rgb="FFFFFFFF"/>
      <name val="Times New Roman"/>
      <family val="1"/>
    </font>
    <font>
      <sz val="8"/>
      <color rgb="FF000000"/>
      <name val="Times New Roman"/>
      <family val="1"/>
    </font>
    <font>
      <b/>
      <sz val="8"/>
      <color rgb="FF2E3092"/>
      <name val="Times New Roman"/>
      <family val="1"/>
    </font>
    <font>
      <b/>
      <sz val="8"/>
      <color rgb="FFED1C24"/>
      <name val="Times New Roman"/>
      <family val="1"/>
    </font>
    <font>
      <sz val="8"/>
      <name val="Times New Roman"/>
      <family val="1"/>
    </font>
    <font>
      <sz val="8"/>
      <color rgb="FF231F20"/>
      <name val="Times New Roman"/>
      <family val="1"/>
    </font>
    <font>
      <sz val="10"/>
      <color rgb="FF231F20"/>
      <name val="Times New Roman"/>
      <family val="1"/>
    </font>
    <font>
      <b/>
      <sz val="8"/>
      <color rgb="FF00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2E3092"/>
      </patternFill>
    </fill>
    <fill>
      <patternFill patternType="solid">
        <fgColor rgb="FF00AEEF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rgb="FF231F20"/>
      </left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/>
      <top style="thin">
        <color rgb="FF231F20"/>
      </top>
      <bottom style="thin">
        <color rgb="FF231F20"/>
      </bottom>
      <diagonal/>
    </border>
    <border>
      <left/>
      <right/>
      <top style="thin">
        <color rgb="FF231F20"/>
      </top>
      <bottom style="thin">
        <color rgb="FF231F20"/>
      </bottom>
      <diagonal/>
    </border>
    <border>
      <left/>
      <right style="thin">
        <color rgb="FF231F20"/>
      </right>
      <top style="thin">
        <color rgb="FF231F20"/>
      </top>
      <bottom style="thin">
        <color rgb="FF231F20"/>
      </bottom>
      <diagonal/>
    </border>
    <border>
      <left style="thin">
        <color rgb="FF231F20"/>
      </left>
      <right style="thin">
        <color rgb="FF231F20"/>
      </right>
      <top style="thin">
        <color rgb="FF231F20"/>
      </top>
      <bottom/>
      <diagonal/>
    </border>
    <border>
      <left style="thin">
        <color rgb="FF231F20"/>
      </left>
      <right style="thin">
        <color rgb="FF231F20"/>
      </right>
      <top/>
      <bottom/>
      <diagonal/>
    </border>
    <border>
      <left style="thin">
        <color rgb="FF231F20"/>
      </left>
      <right style="thin">
        <color rgb="FF231F20"/>
      </right>
      <top/>
      <bottom style="thin">
        <color rgb="FF231F2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231F20"/>
      </bottom>
      <diagonal/>
    </border>
  </borders>
  <cellStyleXfs count="2">
    <xf numFmtId="0" fontId="0" fillId="0" borderId="0"/>
    <xf numFmtId="9" fontId="16" fillId="0" borderId="0" applyFont="0" applyFill="0" applyBorder="0" applyAlignment="0" applyProtection="0"/>
  </cellStyleXfs>
  <cellXfs count="136">
    <xf numFmtId="0" fontId="0" fillId="0" borderId="0" xfId="0" applyFill="1" applyBorder="1" applyAlignment="1">
      <alignment horizontal="left" vertical="top"/>
    </xf>
    <xf numFmtId="0" fontId="1" fillId="0" borderId="0" xfId="0" applyFont="1" applyFill="1" applyBorder="1" applyAlignment="1">
      <alignment horizontal="center" vertical="top" wrapText="1"/>
    </xf>
    <xf numFmtId="0" fontId="0" fillId="0" borderId="0" xfId="0" applyFill="1" applyBorder="1" applyAlignment="1">
      <alignment horizontal="center" vertical="top" wrapText="1"/>
    </xf>
    <xf numFmtId="0" fontId="0" fillId="3" borderId="1" xfId="0" applyFill="1" applyBorder="1" applyAlignment="1">
      <alignment horizontal="left" wrapText="1"/>
    </xf>
    <xf numFmtId="0" fontId="0" fillId="3" borderId="2" xfId="0" applyFill="1" applyBorder="1" applyAlignment="1">
      <alignment horizontal="left" wrapText="1"/>
    </xf>
    <xf numFmtId="0" fontId="3" fillId="3" borderId="1" xfId="0" applyFont="1" applyFill="1" applyBorder="1" applyAlignment="1">
      <alignment horizontal="left" vertical="top" wrapText="1" indent="2"/>
    </xf>
    <xf numFmtId="0" fontId="3" fillId="3" borderId="1" xfId="0" applyFont="1" applyFill="1" applyBorder="1" applyAlignment="1">
      <alignment horizontal="right" vertical="top" wrapText="1"/>
    </xf>
    <xf numFmtId="0" fontId="3" fillId="3" borderId="1" xfId="0" applyFont="1" applyFill="1" applyBorder="1" applyAlignment="1">
      <alignment horizontal="left" vertical="top" wrapText="1" indent="1"/>
    </xf>
    <xf numFmtId="0" fontId="2" fillId="0" borderId="1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left" vertical="top" wrapText="1" indent="1"/>
    </xf>
    <xf numFmtId="0" fontId="4" fillId="0" borderId="1" xfId="0" applyFont="1" applyFill="1" applyBorder="1" applyAlignment="1">
      <alignment horizontal="center" vertical="top" wrapText="1"/>
    </xf>
    <xf numFmtId="2" fontId="5" fillId="0" borderId="1" xfId="0" applyNumberFormat="1" applyFont="1" applyFill="1" applyBorder="1" applyAlignment="1">
      <alignment horizontal="left" vertical="top" indent="2" shrinkToFit="1"/>
    </xf>
    <xf numFmtId="164" fontId="5" fillId="0" borderId="1" xfId="0" applyNumberFormat="1" applyFont="1" applyFill="1" applyBorder="1" applyAlignment="1">
      <alignment horizontal="left" vertical="top" indent="1" shrinkToFit="1"/>
    </xf>
    <xf numFmtId="9" fontId="5" fillId="0" borderId="1" xfId="0" applyNumberFormat="1" applyFont="1" applyFill="1" applyBorder="1" applyAlignment="1">
      <alignment horizontal="left" vertical="top" indent="1" shrinkToFit="1"/>
    </xf>
    <xf numFmtId="2" fontId="5" fillId="0" borderId="1" xfId="0" applyNumberFormat="1" applyFont="1" applyFill="1" applyBorder="1" applyAlignment="1">
      <alignment horizontal="left" vertical="top" indent="1" shrinkToFit="1"/>
    </xf>
    <xf numFmtId="0" fontId="0" fillId="2" borderId="2" xfId="0" applyFill="1" applyBorder="1" applyAlignment="1">
      <alignment horizontal="left" wrapText="1"/>
    </xf>
    <xf numFmtId="0" fontId="0" fillId="2" borderId="3" xfId="0" applyFill="1" applyBorder="1" applyAlignment="1">
      <alignment horizontal="left" wrapText="1"/>
    </xf>
    <xf numFmtId="0" fontId="0" fillId="2" borderId="4" xfId="0" applyFill="1" applyBorder="1" applyAlignment="1">
      <alignment horizontal="left" wrapText="1"/>
    </xf>
    <xf numFmtId="0" fontId="0" fillId="3" borderId="3" xfId="0" applyFill="1" applyBorder="1" applyAlignment="1">
      <alignment horizontal="left" wrapText="1"/>
    </xf>
    <xf numFmtId="0" fontId="3" fillId="3" borderId="3" xfId="0" applyFont="1" applyFill="1" applyBorder="1" applyAlignment="1">
      <alignment horizontal="right" vertical="top" wrapText="1"/>
    </xf>
    <xf numFmtId="0" fontId="3" fillId="3" borderId="3" xfId="0" applyFont="1" applyFill="1" applyBorder="1" applyAlignment="1">
      <alignment horizontal="left" vertical="top" wrapText="1" indent="1"/>
    </xf>
    <xf numFmtId="0" fontId="3" fillId="3" borderId="4" xfId="0" applyFont="1" applyFill="1" applyBorder="1" applyAlignment="1">
      <alignment horizontal="left" vertical="top" wrapText="1" indent="2"/>
    </xf>
    <xf numFmtId="1" fontId="5" fillId="0" borderId="1" xfId="0" applyNumberFormat="1" applyFont="1" applyFill="1" applyBorder="1" applyAlignment="1">
      <alignment horizontal="left" vertical="top" indent="1" shrinkToFit="1"/>
    </xf>
    <xf numFmtId="9" fontId="0" fillId="0" borderId="0" xfId="0" applyNumberFormat="1" applyFill="1" applyBorder="1" applyAlignment="1">
      <alignment horizontal="left" vertical="top"/>
    </xf>
    <xf numFmtId="9" fontId="0" fillId="0" borderId="0" xfId="0" applyNumberFormat="1" applyFill="1" applyBorder="1" applyAlignment="1">
      <alignment horizontal="center" vertical="top"/>
    </xf>
    <xf numFmtId="2" fontId="0" fillId="0" borderId="0" xfId="0" applyNumberFormat="1" applyFill="1" applyBorder="1" applyAlignment="1">
      <alignment horizontal="left" vertical="top"/>
    </xf>
    <xf numFmtId="0" fontId="0" fillId="0" borderId="0" xfId="0" applyNumberFormat="1" applyFill="1" applyBorder="1" applyAlignment="1">
      <alignment horizontal="left" vertical="top"/>
    </xf>
    <xf numFmtId="0" fontId="0" fillId="0" borderId="0" xfId="1" applyNumberFormat="1" applyFont="1" applyFill="1" applyBorder="1" applyAlignment="1">
      <alignment horizontal="left" vertical="top"/>
    </xf>
    <xf numFmtId="0" fontId="17" fillId="5" borderId="0" xfId="0" applyFont="1" applyFill="1" applyBorder="1" applyAlignment="1">
      <alignment horizontal="left" vertical="top"/>
    </xf>
    <xf numFmtId="0" fontId="17" fillId="6" borderId="0" xfId="0" applyFont="1" applyFill="1" applyBorder="1" applyAlignment="1">
      <alignment horizontal="left" vertical="top"/>
    </xf>
    <xf numFmtId="0" fontId="17" fillId="7" borderId="0" xfId="0" applyFont="1" applyFill="1" applyBorder="1" applyAlignment="1">
      <alignment horizontal="left" vertical="top"/>
    </xf>
    <xf numFmtId="0" fontId="0" fillId="7" borderId="0" xfId="0" applyFill="1" applyBorder="1" applyAlignment="1">
      <alignment horizontal="left" vertical="top"/>
    </xf>
    <xf numFmtId="9" fontId="0" fillId="7" borderId="0" xfId="0" applyNumberFormat="1" applyFill="1" applyBorder="1" applyAlignment="1">
      <alignment horizontal="left" vertical="top"/>
    </xf>
    <xf numFmtId="9" fontId="0" fillId="8" borderId="0" xfId="0" applyNumberFormat="1" applyFill="1" applyBorder="1" applyAlignment="1">
      <alignment horizontal="left" vertical="top"/>
    </xf>
    <xf numFmtId="0" fontId="0" fillId="8" borderId="0" xfId="0" applyFill="1" applyBorder="1" applyAlignment="1">
      <alignment horizontal="left" vertical="top"/>
    </xf>
    <xf numFmtId="0" fontId="17" fillId="8" borderId="0" xfId="0" applyFont="1" applyFill="1" applyBorder="1" applyAlignment="1">
      <alignment horizontal="left" vertical="top"/>
    </xf>
    <xf numFmtId="0" fontId="0" fillId="9" borderId="0" xfId="0" applyFill="1" applyBorder="1" applyAlignment="1">
      <alignment horizontal="left" vertical="top"/>
    </xf>
    <xf numFmtId="0" fontId="17" fillId="9" borderId="0" xfId="0" applyFont="1" applyFill="1" applyBorder="1" applyAlignment="1">
      <alignment horizontal="left" vertical="top"/>
    </xf>
    <xf numFmtId="9" fontId="0" fillId="10" borderId="0" xfId="0" applyNumberFormat="1" applyFill="1" applyBorder="1" applyAlignment="1">
      <alignment horizontal="left" vertical="top"/>
    </xf>
    <xf numFmtId="0" fontId="0" fillId="10" borderId="0" xfId="0" applyFill="1" applyBorder="1" applyAlignment="1">
      <alignment horizontal="left" vertical="top"/>
    </xf>
    <xf numFmtId="0" fontId="17" fillId="10" borderId="0" xfId="0" applyFont="1" applyFill="1" applyBorder="1" applyAlignment="1">
      <alignment horizontal="left" vertical="top"/>
    </xf>
    <xf numFmtId="0" fontId="17" fillId="10" borderId="0" xfId="0" applyNumberFormat="1" applyFont="1" applyFill="1" applyBorder="1" applyAlignment="1">
      <alignment horizontal="left" vertical="top"/>
    </xf>
    <xf numFmtId="0" fontId="17" fillId="11" borderId="0" xfId="0" applyFont="1" applyFill="1" applyBorder="1" applyAlignment="1">
      <alignment horizontal="left" vertical="top"/>
    </xf>
    <xf numFmtId="0" fontId="0" fillId="12" borderId="0" xfId="0" applyFill="1" applyBorder="1" applyAlignment="1">
      <alignment horizontal="left" vertical="top"/>
    </xf>
    <xf numFmtId="0" fontId="0" fillId="12" borderId="0" xfId="1" applyNumberFormat="1" applyFont="1" applyFill="1" applyBorder="1" applyAlignment="1">
      <alignment horizontal="left" vertical="top"/>
    </xf>
    <xf numFmtId="0" fontId="17" fillId="12" borderId="0" xfId="0" applyFont="1" applyFill="1" applyBorder="1" applyAlignment="1">
      <alignment horizontal="left" vertical="top"/>
    </xf>
    <xf numFmtId="2" fontId="5" fillId="0" borderId="0" xfId="0" applyNumberFormat="1" applyFont="1" applyFill="1" applyBorder="1" applyAlignment="1">
      <alignment horizontal="left" vertical="top" indent="1" shrinkToFit="1"/>
    </xf>
    <xf numFmtId="0" fontId="2" fillId="0" borderId="0" xfId="0" applyFont="1" applyFill="1" applyBorder="1" applyAlignment="1">
      <alignment horizontal="left" vertical="top" wrapText="1" indent="24"/>
    </xf>
    <xf numFmtId="0" fontId="3" fillId="4" borderId="0" xfId="0" applyFont="1" applyFill="1" applyBorder="1" applyAlignment="1">
      <alignment horizontal="left" vertical="top" wrapText="1" indent="2"/>
    </xf>
    <xf numFmtId="2" fontId="5" fillId="4" borderId="0" xfId="0" applyNumberFormat="1" applyFont="1" applyFill="1" applyBorder="1" applyAlignment="1">
      <alignment horizontal="left" vertical="top" indent="1" shrinkToFit="1"/>
    </xf>
    <xf numFmtId="9" fontId="17" fillId="12" borderId="0" xfId="0" applyNumberFormat="1" applyFont="1" applyFill="1" applyBorder="1" applyAlignment="1">
      <alignment horizontal="left" vertical="top"/>
    </xf>
    <xf numFmtId="0" fontId="17" fillId="12" borderId="0" xfId="0" applyNumberFormat="1" applyFont="1" applyFill="1" applyBorder="1" applyAlignment="1">
      <alignment horizontal="left" vertical="top"/>
    </xf>
    <xf numFmtId="9" fontId="17" fillId="9" borderId="0" xfId="0" applyNumberFormat="1" applyFont="1" applyFill="1" applyBorder="1" applyAlignment="1">
      <alignment horizontal="left" vertical="top"/>
    </xf>
    <xf numFmtId="0" fontId="17" fillId="13" borderId="0" xfId="0" applyFont="1" applyFill="1" applyBorder="1" applyAlignment="1">
      <alignment horizontal="left" vertical="top"/>
    </xf>
    <xf numFmtId="9" fontId="17" fillId="13" borderId="0" xfId="0" applyNumberFormat="1" applyFont="1" applyFill="1" applyBorder="1" applyAlignment="1">
      <alignment horizontal="left" vertical="top"/>
    </xf>
    <xf numFmtId="9" fontId="17" fillId="11" borderId="0" xfId="0" applyNumberFormat="1" applyFont="1" applyFill="1" applyBorder="1" applyAlignment="1">
      <alignment horizontal="left" vertical="top"/>
    </xf>
    <xf numFmtId="9" fontId="17" fillId="6" borderId="0" xfId="0" applyNumberFormat="1" applyFont="1" applyFill="1" applyBorder="1" applyAlignment="1">
      <alignment horizontal="left" vertical="top"/>
    </xf>
    <xf numFmtId="9" fontId="17" fillId="8" borderId="0" xfId="0" applyNumberFormat="1" applyFont="1" applyFill="1" applyBorder="1" applyAlignment="1">
      <alignment horizontal="left" vertical="top"/>
    </xf>
    <xf numFmtId="2" fontId="17" fillId="8" borderId="0" xfId="0" applyNumberFormat="1" applyFont="1" applyFill="1" applyBorder="1" applyAlignment="1">
      <alignment horizontal="left" vertical="top"/>
    </xf>
    <xf numFmtId="9" fontId="17" fillId="7" borderId="0" xfId="0" applyNumberFormat="1" applyFont="1" applyFill="1" applyBorder="1" applyAlignment="1">
      <alignment horizontal="left" vertical="top"/>
    </xf>
    <xf numFmtId="2" fontId="17" fillId="7" borderId="0" xfId="0" applyNumberFormat="1" applyFont="1" applyFill="1" applyBorder="1" applyAlignment="1">
      <alignment horizontal="left" vertical="top"/>
    </xf>
    <xf numFmtId="2" fontId="17" fillId="10" borderId="0" xfId="0" applyNumberFormat="1" applyFont="1" applyFill="1" applyBorder="1" applyAlignment="1">
      <alignment horizontal="left" vertical="top"/>
    </xf>
    <xf numFmtId="9" fontId="17" fillId="5" borderId="0" xfId="0" applyNumberFormat="1" applyFont="1" applyFill="1" applyBorder="1" applyAlignment="1">
      <alignment horizontal="left" vertical="top"/>
    </xf>
    <xf numFmtId="0" fontId="20" fillId="0" borderId="0" xfId="0" applyFont="1" applyFill="1" applyBorder="1" applyAlignment="1">
      <alignment horizontal="left" vertical="top"/>
    </xf>
    <xf numFmtId="0" fontId="20" fillId="3" borderId="1" xfId="0" applyFont="1" applyFill="1" applyBorder="1" applyAlignment="1">
      <alignment horizontal="left" wrapText="1"/>
    </xf>
    <xf numFmtId="0" fontId="18" fillId="3" borderId="5" xfId="0" applyFont="1" applyFill="1" applyBorder="1" applyAlignment="1">
      <alignment horizontal="left" vertical="top" wrapText="1" indent="2"/>
    </xf>
    <xf numFmtId="0" fontId="18" fillId="0" borderId="1" xfId="0" applyFont="1" applyFill="1" applyBorder="1" applyAlignment="1">
      <alignment horizontal="left" vertical="top" wrapText="1" indent="1"/>
    </xf>
    <xf numFmtId="0" fontId="23" fillId="0" borderId="1" xfId="0" applyFont="1" applyFill="1" applyBorder="1" applyAlignment="1">
      <alignment horizontal="left" vertical="top" wrapText="1" indent="1"/>
    </xf>
    <xf numFmtId="0" fontId="23" fillId="0" borderId="1" xfId="0" applyFont="1" applyFill="1" applyBorder="1" applyAlignment="1">
      <alignment horizontal="center" vertical="top" wrapText="1"/>
    </xf>
    <xf numFmtId="2" fontId="24" fillId="0" borderId="8" xfId="0" applyNumberFormat="1" applyFont="1" applyFill="1" applyBorder="1" applyAlignment="1">
      <alignment horizontal="left" vertical="top" indent="2" shrinkToFit="1"/>
    </xf>
    <xf numFmtId="0" fontId="20" fillId="2" borderId="2" xfId="0" applyFont="1" applyFill="1" applyBorder="1" applyAlignment="1">
      <alignment horizontal="left" wrapText="1"/>
    </xf>
    <xf numFmtId="0" fontId="20" fillId="2" borderId="3" xfId="0" applyFont="1" applyFill="1" applyBorder="1" applyAlignment="1">
      <alignment horizontal="left" wrapText="1"/>
    </xf>
    <xf numFmtId="0" fontId="20" fillId="3" borderId="2" xfId="0" applyFont="1" applyFill="1" applyBorder="1" applyAlignment="1">
      <alignment horizontal="left" wrapText="1"/>
    </xf>
    <xf numFmtId="0" fontId="20" fillId="3" borderId="3" xfId="0" applyFont="1" applyFill="1" applyBorder="1" applyAlignment="1">
      <alignment horizontal="left" wrapText="1"/>
    </xf>
    <xf numFmtId="2" fontId="24" fillId="0" borderId="1" xfId="0" applyNumberFormat="1" applyFont="1" applyFill="1" applyBorder="1" applyAlignment="1">
      <alignment horizontal="left" vertical="top" indent="2" shrinkToFit="1"/>
    </xf>
    <xf numFmtId="2" fontId="25" fillId="0" borderId="1" xfId="0" applyNumberFormat="1" applyFont="1" applyFill="1" applyBorder="1" applyAlignment="1">
      <alignment horizontal="left" vertical="top" indent="1" shrinkToFit="1"/>
    </xf>
    <xf numFmtId="0" fontId="18" fillId="3" borderId="1" xfId="0" applyFont="1" applyFill="1" applyBorder="1" applyAlignment="1">
      <alignment horizontal="center" vertical="top" wrapText="1"/>
    </xf>
    <xf numFmtId="2" fontId="24" fillId="0" borderId="1" xfId="0" applyNumberFormat="1" applyFont="1" applyFill="1" applyBorder="1" applyAlignment="1">
      <alignment horizontal="center" vertical="top" shrinkToFit="1"/>
    </xf>
    <xf numFmtId="0" fontId="20" fillId="2" borderId="4" xfId="0" applyFont="1" applyFill="1" applyBorder="1" applyAlignment="1">
      <alignment horizontal="center" wrapText="1"/>
    </xf>
    <xf numFmtId="0" fontId="18" fillId="3" borderId="4" xfId="0" applyFont="1" applyFill="1" applyBorder="1" applyAlignment="1">
      <alignment horizontal="center" vertical="top" wrapText="1"/>
    </xf>
    <xf numFmtId="0" fontId="20" fillId="0" borderId="0" xfId="0" applyFont="1" applyFill="1" applyBorder="1" applyAlignment="1">
      <alignment horizontal="center" vertical="top"/>
    </xf>
    <xf numFmtId="9" fontId="24" fillId="0" borderId="4" xfId="0" applyNumberFormat="1" applyFont="1" applyFill="1" applyBorder="1" applyAlignment="1">
      <alignment horizontal="center" vertical="top" shrinkToFit="1"/>
    </xf>
    <xf numFmtId="0" fontId="20" fillId="2" borderId="3" xfId="0" applyFont="1" applyFill="1" applyBorder="1" applyAlignment="1">
      <alignment horizontal="center" wrapText="1"/>
    </xf>
    <xf numFmtId="0" fontId="18" fillId="3" borderId="3" xfId="0" applyFont="1" applyFill="1" applyBorder="1" applyAlignment="1">
      <alignment horizontal="center" vertical="top" wrapText="1"/>
    </xf>
    <xf numFmtId="9" fontId="24" fillId="0" borderId="1" xfId="0" applyNumberFormat="1" applyFont="1" applyFill="1" applyBorder="1" applyAlignment="1">
      <alignment horizontal="center" vertical="top" shrinkToFit="1"/>
    </xf>
    <xf numFmtId="0" fontId="18" fillId="3" borderId="5" xfId="0" applyNumberFormat="1" applyFont="1" applyFill="1" applyBorder="1" applyAlignment="1">
      <alignment horizontal="center" vertical="top" wrapText="1"/>
    </xf>
    <xf numFmtId="0" fontId="20" fillId="0" borderId="8" xfId="0" applyNumberFormat="1" applyFont="1" applyFill="1" applyBorder="1" applyAlignment="1">
      <alignment horizontal="center" vertical="top"/>
    </xf>
    <xf numFmtId="0" fontId="20" fillId="2" borderId="9" xfId="0" applyNumberFormat="1" applyFont="1" applyFill="1" applyBorder="1" applyAlignment="1">
      <alignment horizontal="center" wrapText="1"/>
    </xf>
    <xf numFmtId="0" fontId="18" fillId="3" borderId="3" xfId="0" applyNumberFormat="1" applyFont="1" applyFill="1" applyBorder="1" applyAlignment="1">
      <alignment horizontal="center" vertical="top" wrapText="1"/>
    </xf>
    <xf numFmtId="0" fontId="24" fillId="0" borderId="1" xfId="0" applyNumberFormat="1" applyFont="1" applyFill="1" applyBorder="1" applyAlignment="1">
      <alignment horizontal="center" vertical="top" shrinkToFit="1"/>
    </xf>
    <xf numFmtId="0" fontId="20" fillId="0" borderId="0" xfId="0" applyNumberFormat="1" applyFont="1" applyFill="1" applyBorder="1" applyAlignment="1">
      <alignment horizontal="center" vertical="top"/>
    </xf>
    <xf numFmtId="0" fontId="26" fillId="0" borderId="0" xfId="0" applyFont="1" applyFill="1" applyBorder="1" applyAlignment="1">
      <alignment horizontal="left" vertical="top"/>
    </xf>
    <xf numFmtId="0" fontId="26" fillId="0" borderId="0" xfId="0" applyFont="1" applyFill="1" applyBorder="1" applyAlignment="1">
      <alignment horizontal="center" vertical="top"/>
    </xf>
    <xf numFmtId="0" fontId="26" fillId="0" borderId="8" xfId="0" applyFont="1" applyFill="1" applyBorder="1" applyAlignment="1">
      <alignment horizontal="center" vertical="top"/>
    </xf>
    <xf numFmtId="2" fontId="24" fillId="0" borderId="8" xfId="0" applyNumberFormat="1" applyFont="1" applyFill="1" applyBorder="1" applyAlignment="1">
      <alignment horizontal="center" vertical="top" shrinkToFit="1"/>
    </xf>
    <xf numFmtId="0" fontId="20" fillId="0" borderId="8" xfId="0" applyFont="1" applyFill="1" applyBorder="1" applyAlignment="1">
      <alignment horizontal="left" vertical="top"/>
    </xf>
    <xf numFmtId="0" fontId="20" fillId="0" borderId="8" xfId="0" applyFont="1" applyFill="1" applyBorder="1" applyAlignment="1">
      <alignment horizontal="center" vertical="top"/>
    </xf>
    <xf numFmtId="9" fontId="20" fillId="0" borderId="0" xfId="0" applyNumberFormat="1" applyFont="1" applyFill="1" applyBorder="1" applyAlignment="1">
      <alignment horizontal="center" vertical="top"/>
    </xf>
    <xf numFmtId="9" fontId="26" fillId="0" borderId="0" xfId="0" applyNumberFormat="1" applyFont="1" applyFill="1" applyBorder="1" applyAlignment="1">
      <alignment horizontal="center" vertical="top"/>
    </xf>
    <xf numFmtId="164" fontId="25" fillId="0" borderId="1" xfId="0" applyNumberFormat="1" applyFont="1" applyFill="1" applyBorder="1" applyAlignment="1">
      <alignment horizontal="left" vertical="top" indent="1" shrinkToFit="1"/>
    </xf>
    <xf numFmtId="0" fontId="2" fillId="2" borderId="3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 wrapText="1" indent="4"/>
    </xf>
    <xf numFmtId="0" fontId="0" fillId="3" borderId="3" xfId="0" applyFill="1" applyBorder="1" applyAlignment="1">
      <alignment horizontal="left" wrapText="1"/>
    </xf>
    <xf numFmtId="0" fontId="3" fillId="3" borderId="3" xfId="0" applyFont="1" applyFill="1" applyBorder="1" applyAlignment="1">
      <alignment horizontal="left" vertical="top" wrapText="1" indent="15"/>
    </xf>
    <xf numFmtId="0" fontId="0" fillId="0" borderId="5" xfId="0" applyFill="1" applyBorder="1" applyAlignment="1">
      <alignment horizontal="center" vertical="top" wrapText="1"/>
    </xf>
    <xf numFmtId="0" fontId="0" fillId="0" borderId="6" xfId="0" applyFill="1" applyBorder="1" applyAlignment="1">
      <alignment horizontal="center" vertical="top" wrapText="1"/>
    </xf>
    <xf numFmtId="0" fontId="0" fillId="0" borderId="7" xfId="0" applyFill="1" applyBorder="1" applyAlignment="1">
      <alignment horizontal="center" vertical="top" wrapText="1"/>
    </xf>
    <xf numFmtId="0" fontId="4" fillId="0" borderId="2" xfId="0" applyFont="1" applyFill="1" applyBorder="1" applyAlignment="1">
      <alignment horizontal="left" vertical="top" wrapText="1" indent="2"/>
    </xf>
    <xf numFmtId="0" fontId="4" fillId="0" borderId="4" xfId="0" applyFont="1" applyFill="1" applyBorder="1" applyAlignment="1">
      <alignment horizontal="left" vertical="top" wrapText="1" indent="2"/>
    </xf>
    <xf numFmtId="0" fontId="2" fillId="2" borderId="2" xfId="0" applyFont="1" applyFill="1" applyBorder="1" applyAlignment="1">
      <alignment horizontal="left" vertical="top" wrapText="1" indent="24"/>
    </xf>
    <xf numFmtId="0" fontId="2" fillId="2" borderId="3" xfId="0" applyFont="1" applyFill="1" applyBorder="1" applyAlignment="1">
      <alignment horizontal="left" vertical="top" wrapText="1" indent="24"/>
    </xf>
    <xf numFmtId="0" fontId="2" fillId="2" borderId="4" xfId="0" applyFont="1" applyFill="1" applyBorder="1" applyAlignment="1">
      <alignment horizontal="left" vertical="top" wrapText="1" indent="24"/>
    </xf>
    <xf numFmtId="0" fontId="0" fillId="3" borderId="2" xfId="0" applyFill="1" applyBorder="1" applyAlignment="1">
      <alignment horizontal="left" wrapText="1"/>
    </xf>
    <xf numFmtId="0" fontId="0" fillId="3" borderId="4" xfId="0" applyFill="1" applyBorder="1" applyAlignment="1">
      <alignment horizontal="left" wrapText="1"/>
    </xf>
    <xf numFmtId="0" fontId="0" fillId="0" borderId="5" xfId="0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 wrapText="1"/>
    </xf>
    <xf numFmtId="0" fontId="0" fillId="0" borderId="7" xfId="0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left" vertical="top" wrapText="1"/>
    </xf>
    <xf numFmtId="0" fontId="18" fillId="2" borderId="3" xfId="0" applyFont="1" applyFill="1" applyBorder="1" applyAlignment="1">
      <alignment horizontal="left" vertical="top" wrapText="1" indent="4"/>
    </xf>
    <xf numFmtId="0" fontId="18" fillId="2" borderId="9" xfId="0" applyFont="1" applyFill="1" applyBorder="1" applyAlignment="1">
      <alignment horizontal="left" vertical="top" wrapText="1" indent="4"/>
    </xf>
    <xf numFmtId="0" fontId="20" fillId="3" borderId="3" xfId="0" applyFont="1" applyFill="1" applyBorder="1" applyAlignment="1">
      <alignment horizontal="left" wrapText="1"/>
    </xf>
    <xf numFmtId="0" fontId="18" fillId="3" borderId="3" xfId="0" applyFont="1" applyFill="1" applyBorder="1" applyAlignment="1">
      <alignment horizontal="left" vertical="top" wrapText="1" indent="15"/>
    </xf>
    <xf numFmtId="0" fontId="20" fillId="0" borderId="5" xfId="0" applyFont="1" applyFill="1" applyBorder="1" applyAlignment="1">
      <alignment horizontal="center" vertical="top" wrapText="1"/>
    </xf>
    <xf numFmtId="0" fontId="20" fillId="0" borderId="6" xfId="0" applyFont="1" applyFill="1" applyBorder="1" applyAlignment="1">
      <alignment horizontal="center" vertical="top" wrapText="1"/>
    </xf>
    <xf numFmtId="0" fontId="20" fillId="0" borderId="7" xfId="0" applyFont="1" applyFill="1" applyBorder="1" applyAlignment="1">
      <alignment horizontal="center" vertical="top" wrapText="1"/>
    </xf>
    <xf numFmtId="0" fontId="23" fillId="0" borderId="2" xfId="0" applyFont="1" applyFill="1" applyBorder="1" applyAlignment="1">
      <alignment horizontal="left" vertical="top" wrapText="1" indent="2"/>
    </xf>
    <xf numFmtId="0" fontId="23" fillId="0" borderId="4" xfId="0" applyFont="1" applyFill="1" applyBorder="1" applyAlignment="1">
      <alignment horizontal="left" vertical="top" wrapText="1" indent="2"/>
    </xf>
    <xf numFmtId="0" fontId="18" fillId="2" borderId="2" xfId="0" applyFont="1" applyFill="1" applyBorder="1" applyAlignment="1">
      <alignment horizontal="left" vertical="top" wrapText="1" indent="24"/>
    </xf>
    <xf numFmtId="0" fontId="18" fillId="2" borderId="3" xfId="0" applyFont="1" applyFill="1" applyBorder="1" applyAlignment="1">
      <alignment horizontal="left" vertical="top" wrapText="1" indent="24"/>
    </xf>
    <xf numFmtId="0" fontId="18" fillId="2" borderId="4" xfId="0" applyFont="1" applyFill="1" applyBorder="1" applyAlignment="1">
      <alignment horizontal="left" vertical="top" wrapText="1" indent="24"/>
    </xf>
    <xf numFmtId="0" fontId="20" fillId="3" borderId="2" xfId="0" applyFont="1" applyFill="1" applyBorder="1" applyAlignment="1">
      <alignment horizontal="left" wrapText="1"/>
    </xf>
    <xf numFmtId="0" fontId="20" fillId="3" borderId="4" xfId="0" applyFont="1" applyFill="1" applyBorder="1" applyAlignment="1">
      <alignment horizontal="left" wrapText="1"/>
    </xf>
    <xf numFmtId="0" fontId="20" fillId="0" borderId="5" xfId="0" applyFont="1" applyFill="1" applyBorder="1" applyAlignment="1">
      <alignment horizontal="center" vertical="center" wrapText="1"/>
    </xf>
    <xf numFmtId="0" fontId="20" fillId="0" borderId="6" xfId="0" applyFont="1" applyFill="1" applyBorder="1" applyAlignment="1">
      <alignment horizontal="center" vertical="center" wrapText="1"/>
    </xf>
    <xf numFmtId="0" fontId="20" fillId="0" borderId="7" xfId="0" applyFont="1" applyFill="1" applyBorder="1" applyAlignment="1">
      <alignment horizontal="center" vertical="center" wrapText="1"/>
    </xf>
    <xf numFmtId="0" fontId="23" fillId="0" borderId="3" xfId="0" applyFont="1" applyFill="1" applyBorder="1" applyAlignment="1">
      <alignment horizontal="left" vertical="top" wrapText="1" indent="2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2045003</xdr:colOff>
      <xdr:row>0</xdr:row>
      <xdr:rowOff>0</xdr:rowOff>
    </xdr:from>
    <xdr:ext cx="1239520" cy="491490"/>
    <xdr:grpSp>
      <xdr:nvGrpSpPr>
        <xdr:cNvPr id="2" name="Group 2"/>
        <xdr:cNvGrpSpPr/>
      </xdr:nvGrpSpPr>
      <xdr:grpSpPr>
        <a:xfrm>
          <a:off x="2045003" y="0"/>
          <a:ext cx="1239520" cy="491490"/>
          <a:chOff x="0" y="0"/>
          <a:chExt cx="1239520" cy="491490"/>
        </a:xfrm>
      </xdr:grpSpPr>
      <xdr:sp macro="" textlink="">
        <xdr:nvSpPr>
          <xdr:cNvPr id="3" name="Shape 3"/>
          <xdr:cNvSpPr/>
        </xdr:nvSpPr>
        <xdr:spPr>
          <a:xfrm>
            <a:off x="-11" y="0"/>
            <a:ext cx="1239520" cy="491490"/>
          </a:xfrm>
          <a:custGeom>
            <a:avLst/>
            <a:gdLst/>
            <a:ahLst/>
            <a:cxnLst/>
            <a:rect l="0" t="0" r="0" b="0"/>
            <a:pathLst>
              <a:path w="1239520" h="491490">
                <a:moveTo>
                  <a:pt x="973861" y="338658"/>
                </a:moveTo>
                <a:lnTo>
                  <a:pt x="920343" y="242354"/>
                </a:lnTo>
                <a:lnTo>
                  <a:pt x="916533" y="235496"/>
                </a:lnTo>
                <a:lnTo>
                  <a:pt x="927468" y="231813"/>
                </a:lnTo>
                <a:lnTo>
                  <a:pt x="937006" y="226479"/>
                </a:lnTo>
                <a:lnTo>
                  <a:pt x="960412" y="190868"/>
                </a:lnTo>
                <a:lnTo>
                  <a:pt x="963256" y="166497"/>
                </a:lnTo>
                <a:lnTo>
                  <a:pt x="962139" y="150253"/>
                </a:lnTo>
                <a:lnTo>
                  <a:pt x="962063" y="149301"/>
                </a:lnTo>
                <a:lnTo>
                  <a:pt x="961974" y="148031"/>
                </a:lnTo>
                <a:lnTo>
                  <a:pt x="942809" y="108966"/>
                </a:lnTo>
                <a:lnTo>
                  <a:pt x="900811" y="92964"/>
                </a:lnTo>
                <a:lnTo>
                  <a:pt x="881265" y="91897"/>
                </a:lnTo>
                <a:lnTo>
                  <a:pt x="775665" y="91897"/>
                </a:lnTo>
                <a:lnTo>
                  <a:pt x="760780" y="91897"/>
                </a:lnTo>
                <a:lnTo>
                  <a:pt x="537946" y="91897"/>
                </a:lnTo>
                <a:lnTo>
                  <a:pt x="523062" y="91897"/>
                </a:lnTo>
                <a:lnTo>
                  <a:pt x="345948" y="91897"/>
                </a:lnTo>
                <a:lnTo>
                  <a:pt x="325361" y="93129"/>
                </a:lnTo>
                <a:lnTo>
                  <a:pt x="281914" y="111823"/>
                </a:lnTo>
                <a:lnTo>
                  <a:pt x="265277" y="149301"/>
                </a:lnTo>
                <a:lnTo>
                  <a:pt x="264172" y="166497"/>
                </a:lnTo>
                <a:lnTo>
                  <a:pt x="265277" y="182499"/>
                </a:lnTo>
                <a:lnTo>
                  <a:pt x="283057" y="220649"/>
                </a:lnTo>
                <a:lnTo>
                  <a:pt x="323405" y="237134"/>
                </a:lnTo>
                <a:lnTo>
                  <a:pt x="342214" y="238239"/>
                </a:lnTo>
                <a:lnTo>
                  <a:pt x="400138" y="238239"/>
                </a:lnTo>
                <a:lnTo>
                  <a:pt x="409917" y="238734"/>
                </a:lnTo>
                <a:lnTo>
                  <a:pt x="434530" y="254914"/>
                </a:lnTo>
                <a:lnTo>
                  <a:pt x="434530" y="273253"/>
                </a:lnTo>
                <a:lnTo>
                  <a:pt x="396786" y="294449"/>
                </a:lnTo>
                <a:lnTo>
                  <a:pt x="264172" y="294449"/>
                </a:lnTo>
                <a:lnTo>
                  <a:pt x="264172" y="338658"/>
                </a:lnTo>
                <a:lnTo>
                  <a:pt x="404456" y="338658"/>
                </a:lnTo>
                <a:lnTo>
                  <a:pt x="425246" y="337439"/>
                </a:lnTo>
                <a:lnTo>
                  <a:pt x="468871" y="319125"/>
                </a:lnTo>
                <a:lnTo>
                  <a:pt x="485355" y="282054"/>
                </a:lnTo>
                <a:lnTo>
                  <a:pt x="486448" y="264909"/>
                </a:lnTo>
                <a:lnTo>
                  <a:pt x="485521" y="249542"/>
                </a:lnTo>
                <a:lnTo>
                  <a:pt x="485457" y="248285"/>
                </a:lnTo>
                <a:lnTo>
                  <a:pt x="470598" y="213106"/>
                </a:lnTo>
                <a:lnTo>
                  <a:pt x="430682" y="196494"/>
                </a:lnTo>
                <a:lnTo>
                  <a:pt x="411276" y="195389"/>
                </a:lnTo>
                <a:lnTo>
                  <a:pt x="346544" y="195389"/>
                </a:lnTo>
                <a:lnTo>
                  <a:pt x="338759" y="194868"/>
                </a:lnTo>
                <a:lnTo>
                  <a:pt x="315442" y="176263"/>
                </a:lnTo>
                <a:lnTo>
                  <a:pt x="315442" y="168554"/>
                </a:lnTo>
                <a:lnTo>
                  <a:pt x="317830" y="154343"/>
                </a:lnTo>
                <a:lnTo>
                  <a:pt x="324980" y="144208"/>
                </a:lnTo>
                <a:lnTo>
                  <a:pt x="336918" y="138125"/>
                </a:lnTo>
                <a:lnTo>
                  <a:pt x="353631" y="136105"/>
                </a:lnTo>
                <a:lnTo>
                  <a:pt x="523062" y="136105"/>
                </a:lnTo>
                <a:lnTo>
                  <a:pt x="537946" y="136105"/>
                </a:lnTo>
                <a:lnTo>
                  <a:pt x="632409" y="136105"/>
                </a:lnTo>
                <a:lnTo>
                  <a:pt x="645833" y="136728"/>
                </a:lnTo>
                <a:lnTo>
                  <a:pt x="676211" y="156959"/>
                </a:lnTo>
                <a:lnTo>
                  <a:pt x="676109" y="168554"/>
                </a:lnTo>
                <a:lnTo>
                  <a:pt x="643890" y="198399"/>
                </a:lnTo>
                <a:lnTo>
                  <a:pt x="632409" y="198818"/>
                </a:lnTo>
                <a:lnTo>
                  <a:pt x="523062" y="198818"/>
                </a:lnTo>
                <a:lnTo>
                  <a:pt x="523062" y="338658"/>
                </a:lnTo>
                <a:lnTo>
                  <a:pt x="572058" y="338658"/>
                </a:lnTo>
                <a:lnTo>
                  <a:pt x="572058" y="242354"/>
                </a:lnTo>
                <a:lnTo>
                  <a:pt x="629539" y="242354"/>
                </a:lnTo>
                <a:lnTo>
                  <a:pt x="681189" y="338658"/>
                </a:lnTo>
                <a:lnTo>
                  <a:pt x="736130" y="338658"/>
                </a:lnTo>
                <a:lnTo>
                  <a:pt x="682612" y="242354"/>
                </a:lnTo>
                <a:lnTo>
                  <a:pt x="678802" y="235496"/>
                </a:lnTo>
                <a:lnTo>
                  <a:pt x="714121" y="210870"/>
                </a:lnTo>
                <a:lnTo>
                  <a:pt x="725411" y="168554"/>
                </a:lnTo>
                <a:lnTo>
                  <a:pt x="725525" y="166497"/>
                </a:lnTo>
                <a:lnTo>
                  <a:pt x="725284" y="158089"/>
                </a:lnTo>
                <a:lnTo>
                  <a:pt x="724560" y="150253"/>
                </a:lnTo>
                <a:lnTo>
                  <a:pt x="723353" y="142925"/>
                </a:lnTo>
                <a:lnTo>
                  <a:pt x="721652" y="136105"/>
                </a:lnTo>
                <a:lnTo>
                  <a:pt x="760780" y="136105"/>
                </a:lnTo>
                <a:lnTo>
                  <a:pt x="775665" y="136105"/>
                </a:lnTo>
                <a:lnTo>
                  <a:pt x="870127" y="136105"/>
                </a:lnTo>
                <a:lnTo>
                  <a:pt x="883551" y="136728"/>
                </a:lnTo>
                <a:lnTo>
                  <a:pt x="913930" y="156959"/>
                </a:lnTo>
                <a:lnTo>
                  <a:pt x="913828" y="168554"/>
                </a:lnTo>
                <a:lnTo>
                  <a:pt x="881621" y="198399"/>
                </a:lnTo>
                <a:lnTo>
                  <a:pt x="870127" y="198818"/>
                </a:lnTo>
                <a:lnTo>
                  <a:pt x="760780" y="198818"/>
                </a:lnTo>
                <a:lnTo>
                  <a:pt x="760780" y="338658"/>
                </a:lnTo>
                <a:lnTo>
                  <a:pt x="809777" y="338658"/>
                </a:lnTo>
                <a:lnTo>
                  <a:pt x="809777" y="242354"/>
                </a:lnTo>
                <a:lnTo>
                  <a:pt x="867270" y="242354"/>
                </a:lnTo>
                <a:lnTo>
                  <a:pt x="918908" y="338658"/>
                </a:lnTo>
                <a:lnTo>
                  <a:pt x="973861" y="338658"/>
                </a:lnTo>
                <a:close/>
              </a:path>
              <a:path w="1239520" h="491490">
                <a:moveTo>
                  <a:pt x="1239456" y="263791"/>
                </a:moveTo>
                <a:lnTo>
                  <a:pt x="1213942" y="201663"/>
                </a:lnTo>
                <a:lnTo>
                  <a:pt x="1187970" y="173748"/>
                </a:lnTo>
                <a:lnTo>
                  <a:pt x="1155407" y="148018"/>
                </a:lnTo>
                <a:lnTo>
                  <a:pt x="1117904" y="124574"/>
                </a:lnTo>
                <a:lnTo>
                  <a:pt x="1077137" y="103454"/>
                </a:lnTo>
                <a:lnTo>
                  <a:pt x="1034770" y="84747"/>
                </a:lnTo>
                <a:lnTo>
                  <a:pt x="992441" y="68529"/>
                </a:lnTo>
                <a:lnTo>
                  <a:pt x="951826" y="54851"/>
                </a:lnTo>
                <a:lnTo>
                  <a:pt x="914590" y="43789"/>
                </a:lnTo>
                <a:lnTo>
                  <a:pt x="856894" y="29832"/>
                </a:lnTo>
                <a:lnTo>
                  <a:pt x="808088" y="20916"/>
                </a:lnTo>
                <a:lnTo>
                  <a:pt x="756107" y="12750"/>
                </a:lnTo>
                <a:lnTo>
                  <a:pt x="703948" y="6172"/>
                </a:lnTo>
                <a:lnTo>
                  <a:pt x="654596" y="2044"/>
                </a:lnTo>
                <a:lnTo>
                  <a:pt x="604469" y="0"/>
                </a:lnTo>
                <a:lnTo>
                  <a:pt x="518566" y="0"/>
                </a:lnTo>
                <a:lnTo>
                  <a:pt x="469658" y="2070"/>
                </a:lnTo>
                <a:lnTo>
                  <a:pt x="420319" y="5791"/>
                </a:lnTo>
                <a:lnTo>
                  <a:pt x="370992" y="11341"/>
                </a:lnTo>
                <a:lnTo>
                  <a:pt x="322072" y="18859"/>
                </a:lnTo>
                <a:lnTo>
                  <a:pt x="273964" y="28498"/>
                </a:lnTo>
                <a:lnTo>
                  <a:pt x="227076" y="40424"/>
                </a:lnTo>
                <a:lnTo>
                  <a:pt x="181838" y="54775"/>
                </a:lnTo>
                <a:lnTo>
                  <a:pt x="138645" y="71704"/>
                </a:lnTo>
                <a:lnTo>
                  <a:pt x="97904" y="91376"/>
                </a:lnTo>
                <a:lnTo>
                  <a:pt x="42938" y="130670"/>
                </a:lnTo>
                <a:lnTo>
                  <a:pt x="3606" y="186182"/>
                </a:lnTo>
                <a:lnTo>
                  <a:pt x="0" y="232524"/>
                </a:lnTo>
                <a:lnTo>
                  <a:pt x="18440" y="274193"/>
                </a:lnTo>
                <a:lnTo>
                  <a:pt x="51219" y="310159"/>
                </a:lnTo>
                <a:lnTo>
                  <a:pt x="90614" y="339382"/>
                </a:lnTo>
                <a:lnTo>
                  <a:pt x="128930" y="360819"/>
                </a:lnTo>
                <a:lnTo>
                  <a:pt x="167640" y="379653"/>
                </a:lnTo>
                <a:lnTo>
                  <a:pt x="178003" y="382663"/>
                </a:lnTo>
                <a:lnTo>
                  <a:pt x="133184" y="350989"/>
                </a:lnTo>
                <a:lnTo>
                  <a:pt x="128435" y="347040"/>
                </a:lnTo>
                <a:lnTo>
                  <a:pt x="92443" y="310121"/>
                </a:lnTo>
                <a:lnTo>
                  <a:pt x="73012" y="270243"/>
                </a:lnTo>
                <a:lnTo>
                  <a:pt x="74676" y="226885"/>
                </a:lnTo>
                <a:lnTo>
                  <a:pt x="101981" y="179578"/>
                </a:lnTo>
                <a:lnTo>
                  <a:pt x="137909" y="146405"/>
                </a:lnTo>
                <a:lnTo>
                  <a:pt x="182333" y="118910"/>
                </a:lnTo>
                <a:lnTo>
                  <a:pt x="231521" y="96583"/>
                </a:lnTo>
                <a:lnTo>
                  <a:pt x="281698" y="78955"/>
                </a:lnTo>
                <a:lnTo>
                  <a:pt x="329133" y="65506"/>
                </a:lnTo>
                <a:lnTo>
                  <a:pt x="397814" y="50076"/>
                </a:lnTo>
                <a:lnTo>
                  <a:pt x="470382" y="38709"/>
                </a:lnTo>
                <a:lnTo>
                  <a:pt x="519341" y="33705"/>
                </a:lnTo>
                <a:lnTo>
                  <a:pt x="567956" y="30441"/>
                </a:lnTo>
                <a:lnTo>
                  <a:pt x="616331" y="28879"/>
                </a:lnTo>
                <a:lnTo>
                  <a:pt x="664565" y="28968"/>
                </a:lnTo>
                <a:lnTo>
                  <a:pt x="712749" y="30657"/>
                </a:lnTo>
                <a:lnTo>
                  <a:pt x="761009" y="33909"/>
                </a:lnTo>
                <a:lnTo>
                  <a:pt x="809434" y="38684"/>
                </a:lnTo>
                <a:lnTo>
                  <a:pt x="858113" y="44919"/>
                </a:lnTo>
                <a:lnTo>
                  <a:pt x="912622" y="55168"/>
                </a:lnTo>
                <a:lnTo>
                  <a:pt x="959307" y="67513"/>
                </a:lnTo>
                <a:lnTo>
                  <a:pt x="1032294" y="92303"/>
                </a:lnTo>
                <a:lnTo>
                  <a:pt x="1071511" y="108800"/>
                </a:lnTo>
                <a:lnTo>
                  <a:pt x="1109776" y="127977"/>
                </a:lnTo>
                <a:lnTo>
                  <a:pt x="1144981" y="149771"/>
                </a:lnTo>
                <a:lnTo>
                  <a:pt x="1175042" y="174142"/>
                </a:lnTo>
                <a:lnTo>
                  <a:pt x="1211402" y="230441"/>
                </a:lnTo>
                <a:lnTo>
                  <a:pt x="1213535" y="262267"/>
                </a:lnTo>
                <a:lnTo>
                  <a:pt x="1202182" y="296481"/>
                </a:lnTo>
                <a:lnTo>
                  <a:pt x="1175245" y="333044"/>
                </a:lnTo>
                <a:lnTo>
                  <a:pt x="1139304" y="362089"/>
                </a:lnTo>
                <a:lnTo>
                  <a:pt x="1083957" y="394144"/>
                </a:lnTo>
                <a:lnTo>
                  <a:pt x="1038402" y="413766"/>
                </a:lnTo>
                <a:lnTo>
                  <a:pt x="989799" y="429971"/>
                </a:lnTo>
                <a:lnTo>
                  <a:pt x="938834" y="443077"/>
                </a:lnTo>
                <a:lnTo>
                  <a:pt x="886231" y="453402"/>
                </a:lnTo>
                <a:lnTo>
                  <a:pt x="832675" y="461264"/>
                </a:lnTo>
                <a:lnTo>
                  <a:pt x="778865" y="466966"/>
                </a:lnTo>
                <a:lnTo>
                  <a:pt x="725525" y="470839"/>
                </a:lnTo>
                <a:lnTo>
                  <a:pt x="673341" y="473202"/>
                </a:lnTo>
                <a:lnTo>
                  <a:pt x="623011" y="474345"/>
                </a:lnTo>
                <a:lnTo>
                  <a:pt x="557720" y="474738"/>
                </a:lnTo>
                <a:lnTo>
                  <a:pt x="604189" y="483527"/>
                </a:lnTo>
                <a:lnTo>
                  <a:pt x="652792" y="488480"/>
                </a:lnTo>
                <a:lnTo>
                  <a:pt x="702208" y="490664"/>
                </a:lnTo>
                <a:lnTo>
                  <a:pt x="751154" y="491185"/>
                </a:lnTo>
                <a:lnTo>
                  <a:pt x="798309" y="491121"/>
                </a:lnTo>
                <a:lnTo>
                  <a:pt x="852538" y="487807"/>
                </a:lnTo>
                <a:lnTo>
                  <a:pt x="900049" y="482320"/>
                </a:lnTo>
                <a:lnTo>
                  <a:pt x="949312" y="473443"/>
                </a:lnTo>
                <a:lnTo>
                  <a:pt x="1001191" y="461022"/>
                </a:lnTo>
                <a:lnTo>
                  <a:pt x="1053363" y="444728"/>
                </a:lnTo>
                <a:lnTo>
                  <a:pt x="1103528" y="424205"/>
                </a:lnTo>
                <a:lnTo>
                  <a:pt x="1149337" y="399122"/>
                </a:lnTo>
                <a:lnTo>
                  <a:pt x="1188491" y="369125"/>
                </a:lnTo>
                <a:lnTo>
                  <a:pt x="1218653" y="333870"/>
                </a:lnTo>
                <a:lnTo>
                  <a:pt x="1235671" y="297878"/>
                </a:lnTo>
                <a:lnTo>
                  <a:pt x="1239456" y="263791"/>
                </a:lnTo>
                <a:close/>
              </a:path>
            </a:pathLst>
          </a:custGeom>
          <a:solidFill>
            <a:srgbClr val="2E3092"/>
          </a:solidFill>
        </xdr:spPr>
      </xdr:sp>
      <xdr:sp macro="" textlink="">
        <xdr:nvSpPr>
          <xdr:cNvPr id="4" name="Textbox 4"/>
          <xdr:cNvSpPr txBox="1"/>
        </xdr:nvSpPr>
        <xdr:spPr>
          <a:xfrm>
            <a:off x="0" y="0"/>
            <a:ext cx="1239520" cy="491490"/>
          </a:xfrm>
          <a:prstGeom prst="rect">
            <a:avLst/>
          </a:prstGeom>
        </xdr:spPr>
        <xdr:txBody>
          <a:bodyPr vertOverflow="clip" lIns="0" tIns="0" rIns="0" bIns="0" anchor="t"/>
          <a:lstStyle/>
          <a:p>
            <a:endParaRPr/>
          </a:p>
          <a:p>
            <a:endParaRPr/>
          </a:p>
          <a:p>
            <a:endParaRPr/>
          </a:p>
          <a:p>
            <a:endParaRPr/>
          </a:p>
          <a:p>
            <a:r>
              <a:rPr sz="550" b="0">
                <a:solidFill>
                  <a:srgbClr val="2E3092"/>
                </a:solidFill>
                <a:latin typeface="Times New Roman"/>
                <a:cs typeface="Times New Roman"/>
              </a:rPr>
              <a:t>MEDICARE</a:t>
            </a:r>
            <a:r>
              <a:rPr sz="550" b="0" spc="-30">
                <a:solidFill>
                  <a:srgbClr val="2E3092"/>
                </a:solidFill>
                <a:latin typeface="Times New Roman"/>
                <a:cs typeface="Times New Roman"/>
              </a:rPr>
              <a:t> </a:t>
            </a:r>
            <a:r>
              <a:rPr sz="550" b="0" spc="0">
                <a:solidFill>
                  <a:srgbClr val="2E3092"/>
                </a:solidFill>
                <a:latin typeface="Times New Roman"/>
                <a:cs typeface="Times New Roman"/>
              </a:rPr>
              <a:t>INDUSTRIES</a:t>
            </a:r>
          </a:p>
        </xdr:txBody>
      </xdr:sp>
    </xdr:grpSp>
    <xdr:clientData/>
  </xdr:oneCellAnchor>
  <xdr:oneCellAnchor>
    <xdr:from>
      <xdr:col>0</xdr:col>
      <xdr:colOff>4376859</xdr:colOff>
      <xdr:row>0</xdr:row>
      <xdr:rowOff>0</xdr:rowOff>
    </xdr:from>
    <xdr:ext cx="2704928" cy="558313"/>
    <xdr:pic>
      <xdr:nvPicPr>
        <xdr:cNvPr id="5" name="image1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04928" cy="558313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59932" y="996678"/>
    <xdr:ext cx="673055" cy="1271830"/>
    <xdr:pic>
      <xdr:nvPicPr>
        <xdr:cNvPr id="6" name="image2.pn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3055" cy="1271830"/>
        </a:xfrm>
        <a:prstGeom prst="rect">
          <a:avLst/>
        </a:prstGeom>
      </xdr:spPr>
    </xdr:pic>
    <xdr:clientData/>
  </xdr:absoluteAnchor>
  <xdr:oneCellAnchor>
    <xdr:from>
      <xdr:col>0</xdr:col>
      <xdr:colOff>40100</xdr:colOff>
      <xdr:row>13</xdr:row>
      <xdr:rowOff>78167</xdr:rowOff>
    </xdr:from>
    <xdr:ext cx="673055" cy="1271828"/>
    <xdr:pic>
      <xdr:nvPicPr>
        <xdr:cNvPr id="7" name="image3.png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73055" cy="1271828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33750</xdr:colOff>
      <xdr:row>13</xdr:row>
      <xdr:rowOff>1967</xdr:rowOff>
    </xdr:from>
    <xdr:ext cx="503025" cy="950533"/>
    <xdr:pic>
      <xdr:nvPicPr>
        <xdr:cNvPr id="2" name="image3.pn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750" y="2465767"/>
          <a:ext cx="503025" cy="950533"/>
        </a:xfrm>
        <a:prstGeom prst="rect">
          <a:avLst/>
        </a:prstGeom>
      </xdr:spPr>
    </xdr:pic>
    <xdr:clientData/>
  </xdr:oneCellAnchor>
  <xdr:twoCellAnchor editAs="oneCell">
    <xdr:from>
      <xdr:col>0</xdr:col>
      <xdr:colOff>12700</xdr:colOff>
      <xdr:row>2</xdr:row>
      <xdr:rowOff>304800</xdr:rowOff>
    </xdr:from>
    <xdr:to>
      <xdr:col>0</xdr:col>
      <xdr:colOff>474515</xdr:colOff>
      <xdr:row>15</xdr:row>
      <xdr:rowOff>62058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00" y="647700"/>
          <a:ext cx="499915" cy="95105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/>
  </sheetViews>
  <sheetFormatPr defaultRowHeight="12.75"/>
  <cols>
    <col min="1" max="1" width="104.1640625" customWidth="1"/>
    <col min="2" max="2" width="76.33203125" customWidth="1"/>
  </cols>
  <sheetData>
    <row r="1" spans="1:2" ht="43.7" customHeight="1">
      <c r="A1" s="1" t="s">
        <v>0</v>
      </c>
      <c r="B1" s="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20"/>
  <sheetViews>
    <sheetView tabSelected="1" topLeftCell="G1" workbookViewId="0">
      <selection activeCell="N16" sqref="N16"/>
    </sheetView>
  </sheetViews>
  <sheetFormatPr defaultRowHeight="12.75"/>
  <cols>
    <col min="1" max="1" width="14.33203125" customWidth="1"/>
    <col min="2" max="2" width="26.33203125" customWidth="1"/>
    <col min="3" max="3" width="21.83203125" customWidth="1"/>
    <col min="4" max="4" width="24.6640625" customWidth="1"/>
    <col min="5" max="5" width="8.33203125" customWidth="1"/>
    <col min="6" max="6" width="22.6640625" customWidth="1"/>
    <col min="7" max="7" width="17.83203125" customWidth="1"/>
    <col min="8" max="8" width="18" customWidth="1"/>
    <col min="9" max="9" width="11.6640625" customWidth="1"/>
    <col min="10" max="10" width="11.1640625" customWidth="1"/>
    <col min="11" max="11" width="14" bestFit="1" customWidth="1"/>
    <col min="12" max="12" width="10" bestFit="1" customWidth="1"/>
    <col min="13" max="15" width="11.1640625" customWidth="1"/>
    <col min="16" max="16" width="14.33203125" customWidth="1"/>
    <col min="18" max="18" width="8.83203125" style="27"/>
    <col min="20" max="20" width="8.83203125" style="23"/>
    <col min="21" max="21" width="8.83203125" style="26"/>
    <col min="22" max="22" width="10.1640625" bestFit="1" customWidth="1"/>
    <col min="23" max="23" width="10.1640625" style="23" customWidth="1"/>
    <col min="24" max="25" width="10.1640625" customWidth="1"/>
    <col min="26" max="26" width="10.1640625" style="23" customWidth="1"/>
    <col min="27" max="28" width="10.1640625" customWidth="1"/>
    <col min="31" max="31" width="9.6640625" bestFit="1" customWidth="1"/>
    <col min="32" max="32" width="9.6640625" style="23" customWidth="1"/>
    <col min="33" max="33" width="9.6640625" customWidth="1"/>
    <col min="34" max="34" width="10.6640625" bestFit="1" customWidth="1"/>
    <col min="35" max="35" width="10.6640625" style="23" customWidth="1"/>
    <col min="36" max="37" width="10.6640625" customWidth="1"/>
    <col min="38" max="38" width="10.6640625" style="23" customWidth="1"/>
    <col min="39" max="40" width="10.6640625" customWidth="1"/>
    <col min="43" max="43" width="10.1640625" bestFit="1" customWidth="1"/>
    <col min="44" max="44" width="10.1640625" style="23" customWidth="1"/>
    <col min="45" max="45" width="10.1640625" style="25" customWidth="1"/>
    <col min="46" max="46" width="10.1640625" customWidth="1"/>
    <col min="47" max="47" width="10.1640625" style="23" customWidth="1"/>
    <col min="48" max="49" width="10.1640625" customWidth="1"/>
    <col min="50" max="50" width="10.1640625" style="23" customWidth="1"/>
    <col min="51" max="52" width="10.1640625" customWidth="1"/>
    <col min="55" max="55" width="13.6640625" bestFit="1" customWidth="1"/>
    <col min="56" max="56" width="13.6640625" style="23" customWidth="1"/>
    <col min="57" max="57" width="13.6640625" style="25" customWidth="1"/>
    <col min="58" max="58" width="13.6640625" customWidth="1"/>
    <col min="59" max="59" width="13.6640625" style="23" customWidth="1"/>
    <col min="60" max="61" width="13.6640625" customWidth="1"/>
    <col min="62" max="62" width="13.6640625" style="23" customWidth="1"/>
    <col min="63" max="64" width="13.6640625" customWidth="1"/>
    <col min="69" max="69" width="8.83203125" style="25"/>
    <col min="70" max="70" width="12.1640625" style="26" bestFit="1" customWidth="1"/>
  </cols>
  <sheetData>
    <row r="1" spans="1:70" ht="15.95" customHeight="1">
      <c r="A1" s="109" t="s">
        <v>2</v>
      </c>
      <c r="B1" s="110"/>
      <c r="C1" s="110"/>
      <c r="D1" s="110"/>
      <c r="E1" s="110"/>
      <c r="F1" s="110"/>
      <c r="G1" s="110"/>
      <c r="H1" s="110"/>
      <c r="I1" s="110"/>
      <c r="J1" s="111"/>
      <c r="K1" s="47"/>
      <c r="L1" s="47"/>
      <c r="M1" s="47"/>
      <c r="N1" s="47"/>
      <c r="O1" s="47"/>
      <c r="P1" s="47"/>
    </row>
    <row r="2" spans="1:70" ht="24">
      <c r="A2" s="3"/>
      <c r="B2" s="3"/>
      <c r="C2" s="3"/>
      <c r="D2" s="3"/>
      <c r="E2" s="112"/>
      <c r="F2" s="113"/>
      <c r="G2" s="5" t="s">
        <v>3</v>
      </c>
      <c r="H2" s="6" t="s">
        <v>4</v>
      </c>
      <c r="I2" s="7" t="s">
        <v>5</v>
      </c>
      <c r="J2" s="5" t="s">
        <v>6</v>
      </c>
      <c r="K2" s="48" t="s">
        <v>48</v>
      </c>
      <c r="L2" s="48"/>
      <c r="M2" s="48"/>
      <c r="N2" s="49" t="s">
        <v>44</v>
      </c>
      <c r="O2" s="48"/>
      <c r="P2" s="48" t="s">
        <v>45</v>
      </c>
      <c r="Q2" s="43" t="s">
        <v>38</v>
      </c>
      <c r="R2" s="44"/>
      <c r="S2" s="43"/>
      <c r="T2" s="50" t="s">
        <v>44</v>
      </c>
      <c r="U2" s="51"/>
      <c r="V2" s="45" t="s">
        <v>45</v>
      </c>
      <c r="W2" s="54" t="s">
        <v>39</v>
      </c>
      <c r="X2" s="53" t="s">
        <v>49</v>
      </c>
      <c r="Y2" s="53" t="s">
        <v>50</v>
      </c>
      <c r="Z2" s="54" t="s">
        <v>44</v>
      </c>
      <c r="AA2" s="53" t="s">
        <v>49</v>
      </c>
      <c r="AB2" s="53" t="s">
        <v>45</v>
      </c>
      <c r="AC2" s="37" t="s">
        <v>39</v>
      </c>
      <c r="AD2" s="36"/>
      <c r="AE2" s="37" t="s">
        <v>40</v>
      </c>
      <c r="AF2" s="52" t="s">
        <v>44</v>
      </c>
      <c r="AG2" s="37"/>
      <c r="AH2" s="37" t="s">
        <v>46</v>
      </c>
      <c r="AI2" s="55" t="s">
        <v>51</v>
      </c>
      <c r="AJ2" s="42"/>
      <c r="AK2" s="42" t="s">
        <v>50</v>
      </c>
      <c r="AL2" s="55" t="s">
        <v>44</v>
      </c>
      <c r="AM2" s="42"/>
      <c r="AN2" s="42" t="s">
        <v>52</v>
      </c>
      <c r="AO2" s="33">
        <v>0.02</v>
      </c>
      <c r="AP2" s="34"/>
      <c r="AQ2" s="35" t="s">
        <v>41</v>
      </c>
      <c r="AR2" s="57" t="s">
        <v>47</v>
      </c>
      <c r="AS2" s="58"/>
      <c r="AT2" s="35" t="s">
        <v>45</v>
      </c>
      <c r="AU2" s="56">
        <v>0.03</v>
      </c>
      <c r="AV2" s="29"/>
      <c r="AW2" s="29" t="s">
        <v>53</v>
      </c>
      <c r="AX2" s="56" t="s">
        <v>44</v>
      </c>
      <c r="AY2" s="29"/>
      <c r="AZ2" s="29" t="s">
        <v>45</v>
      </c>
      <c r="BA2" s="32">
        <v>0.03</v>
      </c>
      <c r="BB2" s="31"/>
      <c r="BC2" s="30" t="s">
        <v>42</v>
      </c>
      <c r="BD2" s="59" t="s">
        <v>47</v>
      </c>
      <c r="BE2" s="60"/>
      <c r="BF2" s="30" t="s">
        <v>45</v>
      </c>
      <c r="BG2" s="62">
        <v>0.04</v>
      </c>
      <c r="BH2" s="28"/>
      <c r="BI2" s="28" t="s">
        <v>54</v>
      </c>
      <c r="BJ2" s="62" t="s">
        <v>44</v>
      </c>
      <c r="BK2" s="28"/>
      <c r="BL2" s="28" t="s">
        <v>45</v>
      </c>
      <c r="BM2" s="38">
        <v>0.04</v>
      </c>
      <c r="BN2" s="39"/>
      <c r="BO2" s="40" t="s">
        <v>43</v>
      </c>
      <c r="BP2" s="40" t="s">
        <v>44</v>
      </c>
      <c r="BQ2" s="61"/>
      <c r="BR2" s="41" t="s">
        <v>45</v>
      </c>
    </row>
    <row r="3" spans="1:70" ht="24.95" customHeight="1">
      <c r="A3" s="114" t="s">
        <v>7</v>
      </c>
      <c r="B3" s="8" t="s">
        <v>8</v>
      </c>
      <c r="C3" s="9" t="s">
        <v>9</v>
      </c>
      <c r="D3" s="10" t="s">
        <v>10</v>
      </c>
      <c r="E3" s="107" t="s">
        <v>11</v>
      </c>
      <c r="F3" s="108"/>
      <c r="G3" s="11">
        <v>6240</v>
      </c>
      <c r="H3" s="12">
        <v>6.5</v>
      </c>
      <c r="I3" s="13">
        <v>0.05</v>
      </c>
      <c r="J3" s="14">
        <v>30</v>
      </c>
      <c r="K3" s="24">
        <v>0.02</v>
      </c>
      <c r="L3" s="46">
        <f>G3*K3</f>
        <v>124.8</v>
      </c>
      <c r="M3" s="46">
        <f>G3+L3</f>
        <v>6364.8</v>
      </c>
      <c r="N3" s="23">
        <v>0.05</v>
      </c>
      <c r="O3" s="46">
        <f>M3*N3</f>
        <v>318.24</v>
      </c>
      <c r="P3" s="46">
        <f>M3+O3</f>
        <v>6683.04</v>
      </c>
      <c r="Q3" s="24">
        <v>0.02</v>
      </c>
      <c r="R3" s="27">
        <f t="shared" ref="R3:R11" si="0">H3*Q3</f>
        <v>0.13</v>
      </c>
      <c r="S3" s="25">
        <f t="shared" ref="S3:S11" si="1">H3+R3</f>
        <v>6.63</v>
      </c>
      <c r="T3" s="23">
        <v>0.05</v>
      </c>
      <c r="U3" s="26">
        <f>S3*T3</f>
        <v>0.33150000000000002</v>
      </c>
      <c r="V3" s="25">
        <f>S3+U3</f>
        <v>6.9615</v>
      </c>
      <c r="W3" s="23">
        <v>0.01</v>
      </c>
      <c r="X3" s="25">
        <f>M3*W3</f>
        <v>63.648000000000003</v>
      </c>
      <c r="Y3" s="25">
        <f>M3+X3</f>
        <v>6428.4480000000003</v>
      </c>
      <c r="Z3" s="23">
        <v>0.05</v>
      </c>
      <c r="AA3" s="25">
        <f>Y3*Z3</f>
        <v>321.42240000000004</v>
      </c>
      <c r="AB3" s="25">
        <f>Y3+AA3</f>
        <v>6749.8704000000007</v>
      </c>
      <c r="AC3" s="23">
        <v>0.01</v>
      </c>
      <c r="AD3">
        <f t="shared" ref="AD3:AD11" si="2">S3*AC3</f>
        <v>6.6299999999999998E-2</v>
      </c>
      <c r="AE3" s="25">
        <f t="shared" ref="AE3:AE11" si="3">S3+AD3</f>
        <v>6.6962999999999999</v>
      </c>
      <c r="AF3" s="23">
        <v>0.05</v>
      </c>
      <c r="AG3" s="25">
        <f>AE3*AF3</f>
        <v>0.33481500000000003</v>
      </c>
      <c r="AH3" s="25">
        <f>AE3+AG3</f>
        <v>7.0311149999999998</v>
      </c>
      <c r="AI3" s="23">
        <v>0.02</v>
      </c>
      <c r="AJ3" s="25">
        <f>M3*AI3</f>
        <v>127.29600000000001</v>
      </c>
      <c r="AK3" s="25">
        <f>M3+AJ3</f>
        <v>6492.0960000000005</v>
      </c>
      <c r="AL3" s="23">
        <v>0.05</v>
      </c>
      <c r="AM3" s="25">
        <f>AK3*AL3</f>
        <v>324.60480000000007</v>
      </c>
      <c r="AN3" s="25">
        <f>AK3+AM3</f>
        <v>6816.7008000000005</v>
      </c>
      <c r="AO3" s="23">
        <v>0.02</v>
      </c>
      <c r="AP3">
        <f t="shared" ref="AP3:AP11" si="4">S3*AO3</f>
        <v>0.1326</v>
      </c>
      <c r="AQ3" s="25">
        <f t="shared" ref="AQ3:AQ11" si="5">S3+AP3</f>
        <v>6.7625999999999999</v>
      </c>
      <c r="AR3" s="23">
        <v>0.05</v>
      </c>
      <c r="AS3" s="25">
        <f>AQ3*AR3</f>
        <v>0.33813000000000004</v>
      </c>
      <c r="AT3" s="25">
        <f>AQ3+AS3</f>
        <v>7.1007300000000004</v>
      </c>
      <c r="AU3" s="23">
        <v>0.03</v>
      </c>
      <c r="AV3" s="25">
        <f>M3*AU3</f>
        <v>190.94399999999999</v>
      </c>
      <c r="AW3" s="25">
        <f>M3+AV3</f>
        <v>6555.7440000000006</v>
      </c>
      <c r="AX3" s="23">
        <v>0.05</v>
      </c>
      <c r="AY3" s="25">
        <f>AW3*AX3</f>
        <v>327.78720000000004</v>
      </c>
      <c r="AZ3" s="25">
        <f>AW3+AY3</f>
        <v>6883.5312000000004</v>
      </c>
      <c r="BA3" s="23">
        <v>0.03</v>
      </c>
      <c r="BB3">
        <f t="shared" ref="BB3:BB11" si="6">S3*BA3</f>
        <v>0.19889999999999999</v>
      </c>
      <c r="BC3" s="25">
        <f t="shared" ref="BC3:BC11" si="7">S3+BB3</f>
        <v>6.8289</v>
      </c>
      <c r="BD3" s="23">
        <v>0.05</v>
      </c>
      <c r="BE3" s="25">
        <f>BC3*BD3</f>
        <v>0.341445</v>
      </c>
      <c r="BF3" s="25">
        <f>BC3+BE3</f>
        <v>7.1703450000000002</v>
      </c>
      <c r="BG3" s="23">
        <v>0.04</v>
      </c>
      <c r="BH3" s="25">
        <f>M3*BG3</f>
        <v>254.59200000000001</v>
      </c>
      <c r="BI3" s="25">
        <f>M3+BH3</f>
        <v>6619.3919999999998</v>
      </c>
      <c r="BJ3" s="23">
        <v>0.05</v>
      </c>
      <c r="BK3" s="25">
        <f>BI3*BJ3</f>
        <v>330.96960000000001</v>
      </c>
      <c r="BL3" s="25">
        <f>BI3+BK3</f>
        <v>6950.3616000000002</v>
      </c>
      <c r="BM3" s="23">
        <v>0.04</v>
      </c>
      <c r="BN3">
        <f t="shared" ref="BN3:BN11" si="8">S3*BM3</f>
        <v>0.26519999999999999</v>
      </c>
      <c r="BO3" s="25">
        <f>S3+BN3</f>
        <v>6.8952</v>
      </c>
      <c r="BP3" s="23">
        <v>0.05</v>
      </c>
      <c r="BQ3" s="25">
        <f>BO3*BP3</f>
        <v>0.34476000000000001</v>
      </c>
      <c r="BR3" s="25">
        <f>BO3+BQ3</f>
        <v>7.23996</v>
      </c>
    </row>
    <row r="4" spans="1:70" ht="24.95" customHeight="1">
      <c r="A4" s="115"/>
      <c r="B4" s="8" t="s">
        <v>8</v>
      </c>
      <c r="C4" s="9" t="s">
        <v>12</v>
      </c>
      <c r="D4" s="10" t="s">
        <v>13</v>
      </c>
      <c r="E4" s="107" t="s">
        <v>11</v>
      </c>
      <c r="F4" s="108"/>
      <c r="G4" s="11">
        <v>7200</v>
      </c>
      <c r="H4" s="14">
        <v>15</v>
      </c>
      <c r="I4" s="13">
        <v>0.05</v>
      </c>
      <c r="J4" s="14">
        <v>45</v>
      </c>
      <c r="K4" s="24">
        <v>0.02</v>
      </c>
      <c r="L4" s="46">
        <f t="shared" ref="L4:L20" si="9">G4*K4</f>
        <v>144</v>
      </c>
      <c r="M4" s="46">
        <f t="shared" ref="M4:M20" si="10">G4+L4</f>
        <v>7344</v>
      </c>
      <c r="N4" s="23">
        <v>0.05</v>
      </c>
      <c r="O4" s="46">
        <f t="shared" ref="O4:O20" si="11">M4*N4</f>
        <v>367.20000000000005</v>
      </c>
      <c r="P4" s="46">
        <f t="shared" ref="P4:P20" si="12">M4+O4</f>
        <v>7711.2</v>
      </c>
      <c r="Q4" s="24">
        <v>0.02</v>
      </c>
      <c r="R4" s="27">
        <f t="shared" si="0"/>
        <v>0.3</v>
      </c>
      <c r="S4" s="25">
        <f t="shared" si="1"/>
        <v>15.3</v>
      </c>
      <c r="T4" s="23">
        <v>0.05</v>
      </c>
      <c r="U4" s="26">
        <f t="shared" ref="U4:U20" si="13">S4*T4</f>
        <v>0.76500000000000012</v>
      </c>
      <c r="V4" s="25">
        <f t="shared" ref="V4:V20" si="14">S4+U4</f>
        <v>16.065000000000001</v>
      </c>
      <c r="W4" s="23">
        <v>0.01</v>
      </c>
      <c r="X4" s="25">
        <f t="shared" ref="X4:X20" si="15">M4*W4</f>
        <v>73.44</v>
      </c>
      <c r="Y4" s="25">
        <f t="shared" ref="Y4:Y20" si="16">M4+X4</f>
        <v>7417.44</v>
      </c>
      <c r="Z4" s="23">
        <v>0.05</v>
      </c>
      <c r="AA4" s="25">
        <f t="shared" ref="AA4:AA20" si="17">Y4*Z4</f>
        <v>370.87200000000001</v>
      </c>
      <c r="AB4" s="25">
        <f t="shared" ref="AB4:AB20" si="18">Y4+AA4</f>
        <v>7788.3119999999999</v>
      </c>
      <c r="AC4" s="23">
        <v>0.01</v>
      </c>
      <c r="AD4">
        <f t="shared" si="2"/>
        <v>0.153</v>
      </c>
      <c r="AE4" s="25">
        <f t="shared" si="3"/>
        <v>15.453000000000001</v>
      </c>
      <c r="AF4" s="23">
        <v>0.05</v>
      </c>
      <c r="AG4" s="25">
        <f t="shared" ref="AG4:AG20" si="19">AE4*AF4</f>
        <v>0.77265000000000006</v>
      </c>
      <c r="AH4" s="25">
        <f t="shared" ref="AH4:AH20" si="20">AE4+AG4</f>
        <v>16.225650000000002</v>
      </c>
      <c r="AI4" s="23">
        <v>0.02</v>
      </c>
      <c r="AJ4" s="25">
        <f t="shared" ref="AJ4:AJ20" si="21">M4*AI4</f>
        <v>146.88</v>
      </c>
      <c r="AK4" s="25">
        <f t="shared" ref="AK4:AK20" si="22">M4+AJ4</f>
        <v>7490.88</v>
      </c>
      <c r="AL4" s="23">
        <v>0.05</v>
      </c>
      <c r="AM4" s="25">
        <f t="shared" ref="AM4:AM20" si="23">AK4*AL4</f>
        <v>374.54400000000004</v>
      </c>
      <c r="AN4" s="25">
        <f t="shared" ref="AN4:AN20" si="24">AK4+AM4</f>
        <v>7865.424</v>
      </c>
      <c r="AO4" s="23">
        <v>0.02</v>
      </c>
      <c r="AP4">
        <f t="shared" si="4"/>
        <v>0.30599999999999999</v>
      </c>
      <c r="AQ4" s="25">
        <f t="shared" si="5"/>
        <v>15.606</v>
      </c>
      <c r="AR4" s="23">
        <v>0.05</v>
      </c>
      <c r="AS4" s="25">
        <f t="shared" ref="AS4:AS20" si="25">AQ4*AR4</f>
        <v>0.78029999999999999</v>
      </c>
      <c r="AT4" s="25">
        <f t="shared" ref="AT4:AT20" si="26">AQ4+AS4</f>
        <v>16.386299999999999</v>
      </c>
      <c r="AU4" s="23">
        <v>0.03</v>
      </c>
      <c r="AV4" s="25">
        <f t="shared" ref="AV4:AV20" si="27">M4*AU4</f>
        <v>220.32</v>
      </c>
      <c r="AW4" s="25">
        <f t="shared" ref="AW4:AW20" si="28">M4+AV4</f>
        <v>7564.32</v>
      </c>
      <c r="AX4" s="23">
        <v>0.05</v>
      </c>
      <c r="AY4" s="25">
        <f t="shared" ref="AY4:AY20" si="29">AW4*AX4</f>
        <v>378.21600000000001</v>
      </c>
      <c r="AZ4" s="25">
        <f t="shared" ref="AZ4:AZ20" si="30">AW4+AY4</f>
        <v>7942.5360000000001</v>
      </c>
      <c r="BA4" s="23">
        <v>0.03</v>
      </c>
      <c r="BB4">
        <f t="shared" si="6"/>
        <v>0.45900000000000002</v>
      </c>
      <c r="BC4" s="25">
        <f t="shared" si="7"/>
        <v>15.759</v>
      </c>
      <c r="BD4" s="23">
        <v>0.05</v>
      </c>
      <c r="BE4" s="25">
        <f t="shared" ref="BE4:BE20" si="31">BC4*BD4</f>
        <v>0.78795000000000004</v>
      </c>
      <c r="BF4" s="25">
        <f t="shared" ref="BF4:BF20" si="32">BC4+BE4</f>
        <v>16.546949999999999</v>
      </c>
      <c r="BG4" s="23">
        <v>0.04</v>
      </c>
      <c r="BH4" s="25">
        <f t="shared" ref="BH4:BH20" si="33">M4*BG4</f>
        <v>293.76</v>
      </c>
      <c r="BI4" s="25">
        <f t="shared" ref="BI4:BI20" si="34">M4+BH4</f>
        <v>7637.76</v>
      </c>
      <c r="BJ4" s="23">
        <v>0.05</v>
      </c>
      <c r="BK4" s="25">
        <f t="shared" ref="BK4:BK20" si="35">BI4*BJ4</f>
        <v>381.88800000000003</v>
      </c>
      <c r="BL4" s="25">
        <f t="shared" ref="BL4:BL20" si="36">BI4+BK4</f>
        <v>8019.6480000000001</v>
      </c>
      <c r="BM4" s="23">
        <v>0.04</v>
      </c>
      <c r="BN4">
        <f t="shared" si="8"/>
        <v>0.61199999999999999</v>
      </c>
      <c r="BO4" s="25">
        <f t="shared" ref="BO4:BO11" si="37">S4+BN4</f>
        <v>15.912000000000001</v>
      </c>
      <c r="BP4" s="23">
        <v>0.05</v>
      </c>
      <c r="BQ4" s="25">
        <f t="shared" ref="BQ4:BQ20" si="38">BO4*BP4</f>
        <v>0.79560000000000008</v>
      </c>
      <c r="BR4" s="25">
        <f t="shared" ref="BR4:BR20" si="39">BO4+BQ4</f>
        <v>16.707599999999999</v>
      </c>
    </row>
    <row r="5" spans="1:70" ht="24.95" customHeight="1">
      <c r="A5" s="115"/>
      <c r="B5" s="8" t="s">
        <v>8</v>
      </c>
      <c r="C5" s="9" t="s">
        <v>14</v>
      </c>
      <c r="D5" s="10" t="s">
        <v>15</v>
      </c>
      <c r="E5" s="107" t="s">
        <v>11</v>
      </c>
      <c r="F5" s="108"/>
      <c r="G5" s="11">
        <v>7200</v>
      </c>
      <c r="H5" s="14">
        <v>20</v>
      </c>
      <c r="I5" s="13">
        <v>0.05</v>
      </c>
      <c r="J5" s="14">
        <v>60</v>
      </c>
      <c r="K5" s="24">
        <v>0.02</v>
      </c>
      <c r="L5" s="46">
        <f t="shared" si="9"/>
        <v>144</v>
      </c>
      <c r="M5" s="46">
        <f t="shared" si="10"/>
        <v>7344</v>
      </c>
      <c r="N5" s="23">
        <v>0.05</v>
      </c>
      <c r="O5" s="46">
        <f t="shared" si="11"/>
        <v>367.20000000000005</v>
      </c>
      <c r="P5" s="46">
        <f t="shared" si="12"/>
        <v>7711.2</v>
      </c>
      <c r="Q5" s="24">
        <v>0.02</v>
      </c>
      <c r="R5" s="27">
        <f t="shared" si="0"/>
        <v>0.4</v>
      </c>
      <c r="S5" s="25">
        <f t="shared" si="1"/>
        <v>20.399999999999999</v>
      </c>
      <c r="T5" s="23">
        <v>0.05</v>
      </c>
      <c r="U5" s="26">
        <f t="shared" si="13"/>
        <v>1.02</v>
      </c>
      <c r="V5" s="25">
        <f t="shared" si="14"/>
        <v>21.419999999999998</v>
      </c>
      <c r="W5" s="23">
        <v>0.01</v>
      </c>
      <c r="X5" s="25">
        <f t="shared" si="15"/>
        <v>73.44</v>
      </c>
      <c r="Y5" s="25">
        <f t="shared" si="16"/>
        <v>7417.44</v>
      </c>
      <c r="Z5" s="23">
        <v>0.05</v>
      </c>
      <c r="AA5" s="25">
        <f t="shared" si="17"/>
        <v>370.87200000000001</v>
      </c>
      <c r="AB5" s="25">
        <f t="shared" si="18"/>
        <v>7788.3119999999999</v>
      </c>
      <c r="AC5" s="23">
        <v>0.01</v>
      </c>
      <c r="AD5">
        <f t="shared" si="2"/>
        <v>0.20399999999999999</v>
      </c>
      <c r="AE5" s="25">
        <f t="shared" si="3"/>
        <v>20.603999999999999</v>
      </c>
      <c r="AF5" s="23">
        <v>0.05</v>
      </c>
      <c r="AG5" s="25">
        <f t="shared" si="19"/>
        <v>1.0302</v>
      </c>
      <c r="AH5" s="25">
        <f t="shared" si="20"/>
        <v>21.6342</v>
      </c>
      <c r="AI5" s="23">
        <v>0.02</v>
      </c>
      <c r="AJ5" s="25">
        <f t="shared" si="21"/>
        <v>146.88</v>
      </c>
      <c r="AK5" s="25">
        <f t="shared" si="22"/>
        <v>7490.88</v>
      </c>
      <c r="AL5" s="23">
        <v>0.05</v>
      </c>
      <c r="AM5" s="25">
        <f t="shared" si="23"/>
        <v>374.54400000000004</v>
      </c>
      <c r="AN5" s="25">
        <f t="shared" si="24"/>
        <v>7865.424</v>
      </c>
      <c r="AO5" s="23">
        <v>0.02</v>
      </c>
      <c r="AP5">
        <f t="shared" si="4"/>
        <v>0.40799999999999997</v>
      </c>
      <c r="AQ5" s="25">
        <f t="shared" si="5"/>
        <v>20.808</v>
      </c>
      <c r="AR5" s="23">
        <v>0.05</v>
      </c>
      <c r="AS5" s="25">
        <f t="shared" si="25"/>
        <v>1.0404</v>
      </c>
      <c r="AT5" s="25">
        <f t="shared" si="26"/>
        <v>21.848399999999998</v>
      </c>
      <c r="AU5" s="23">
        <v>0.03</v>
      </c>
      <c r="AV5" s="25">
        <f t="shared" si="27"/>
        <v>220.32</v>
      </c>
      <c r="AW5" s="25">
        <f t="shared" si="28"/>
        <v>7564.32</v>
      </c>
      <c r="AX5" s="23">
        <v>0.05</v>
      </c>
      <c r="AY5" s="25">
        <f t="shared" si="29"/>
        <v>378.21600000000001</v>
      </c>
      <c r="AZ5" s="25">
        <f t="shared" si="30"/>
        <v>7942.5360000000001</v>
      </c>
      <c r="BA5" s="23">
        <v>0.03</v>
      </c>
      <c r="BB5">
        <f t="shared" si="6"/>
        <v>0.61199999999999999</v>
      </c>
      <c r="BC5" s="25">
        <f t="shared" si="7"/>
        <v>21.011999999999997</v>
      </c>
      <c r="BD5" s="23">
        <v>0.05</v>
      </c>
      <c r="BE5" s="25">
        <f t="shared" si="31"/>
        <v>1.0506</v>
      </c>
      <c r="BF5" s="25">
        <f t="shared" si="32"/>
        <v>22.062599999999996</v>
      </c>
      <c r="BG5" s="23">
        <v>0.04</v>
      </c>
      <c r="BH5" s="25">
        <f t="shared" si="33"/>
        <v>293.76</v>
      </c>
      <c r="BI5" s="25">
        <f t="shared" si="34"/>
        <v>7637.76</v>
      </c>
      <c r="BJ5" s="23">
        <v>0.05</v>
      </c>
      <c r="BK5" s="25">
        <f t="shared" si="35"/>
        <v>381.88800000000003</v>
      </c>
      <c r="BL5" s="25">
        <f t="shared" si="36"/>
        <v>8019.6480000000001</v>
      </c>
      <c r="BM5" s="23">
        <v>0.04</v>
      </c>
      <c r="BN5">
        <f t="shared" si="8"/>
        <v>0.81599999999999995</v>
      </c>
      <c r="BO5" s="25">
        <f t="shared" si="37"/>
        <v>21.215999999999998</v>
      </c>
      <c r="BP5" s="23">
        <v>0.05</v>
      </c>
      <c r="BQ5" s="25">
        <f t="shared" si="38"/>
        <v>1.0608</v>
      </c>
      <c r="BR5" s="25">
        <f t="shared" si="39"/>
        <v>22.276799999999998</v>
      </c>
    </row>
    <row r="6" spans="1:70" ht="24.95" customHeight="1">
      <c r="A6" s="115"/>
      <c r="B6" s="8" t="s">
        <v>8</v>
      </c>
      <c r="C6" s="9" t="s">
        <v>16</v>
      </c>
      <c r="D6" s="10" t="s">
        <v>15</v>
      </c>
      <c r="E6" s="107" t="s">
        <v>11</v>
      </c>
      <c r="F6" s="108"/>
      <c r="G6" s="11">
        <v>9000</v>
      </c>
      <c r="H6" s="14">
        <v>25</v>
      </c>
      <c r="I6" s="13">
        <v>0.05</v>
      </c>
      <c r="J6" s="14">
        <v>80</v>
      </c>
      <c r="K6" s="24">
        <v>0.02</v>
      </c>
      <c r="L6" s="46">
        <f t="shared" si="9"/>
        <v>180</v>
      </c>
      <c r="M6" s="46">
        <f t="shared" si="10"/>
        <v>9180</v>
      </c>
      <c r="N6" s="23">
        <v>0.05</v>
      </c>
      <c r="O6" s="46">
        <f t="shared" si="11"/>
        <v>459</v>
      </c>
      <c r="P6" s="46">
        <f t="shared" si="12"/>
        <v>9639</v>
      </c>
      <c r="Q6" s="24">
        <v>0.02</v>
      </c>
      <c r="R6" s="27">
        <f t="shared" si="0"/>
        <v>0.5</v>
      </c>
      <c r="S6" s="25">
        <f t="shared" si="1"/>
        <v>25.5</v>
      </c>
      <c r="T6" s="23">
        <v>0.05</v>
      </c>
      <c r="U6" s="26">
        <f t="shared" si="13"/>
        <v>1.2750000000000001</v>
      </c>
      <c r="V6" s="25">
        <f t="shared" si="14"/>
        <v>26.774999999999999</v>
      </c>
      <c r="W6" s="23">
        <v>0.01</v>
      </c>
      <c r="X6" s="25">
        <f t="shared" si="15"/>
        <v>91.8</v>
      </c>
      <c r="Y6" s="25">
        <f t="shared" si="16"/>
        <v>9271.7999999999993</v>
      </c>
      <c r="Z6" s="23">
        <v>0.05</v>
      </c>
      <c r="AA6" s="25">
        <f t="shared" si="17"/>
        <v>463.59</v>
      </c>
      <c r="AB6" s="25">
        <f t="shared" si="18"/>
        <v>9735.39</v>
      </c>
      <c r="AC6" s="23">
        <v>0.01</v>
      </c>
      <c r="AD6">
        <f t="shared" si="2"/>
        <v>0.255</v>
      </c>
      <c r="AE6" s="25">
        <f t="shared" si="3"/>
        <v>25.754999999999999</v>
      </c>
      <c r="AF6" s="23">
        <v>0.05</v>
      </c>
      <c r="AG6" s="25">
        <f t="shared" si="19"/>
        <v>1.28775</v>
      </c>
      <c r="AH6" s="25">
        <f t="shared" si="20"/>
        <v>27.042749999999998</v>
      </c>
      <c r="AI6" s="23">
        <v>0.02</v>
      </c>
      <c r="AJ6" s="25">
        <f t="shared" si="21"/>
        <v>183.6</v>
      </c>
      <c r="AK6" s="25">
        <f t="shared" si="22"/>
        <v>9363.6</v>
      </c>
      <c r="AL6" s="23">
        <v>0.05</v>
      </c>
      <c r="AM6" s="25">
        <f t="shared" si="23"/>
        <v>468.18000000000006</v>
      </c>
      <c r="AN6" s="25">
        <f t="shared" si="24"/>
        <v>9831.7800000000007</v>
      </c>
      <c r="AO6" s="23">
        <v>0.02</v>
      </c>
      <c r="AP6">
        <f t="shared" si="4"/>
        <v>0.51</v>
      </c>
      <c r="AQ6" s="25">
        <f t="shared" si="5"/>
        <v>26.01</v>
      </c>
      <c r="AR6" s="23">
        <v>0.05</v>
      </c>
      <c r="AS6" s="25">
        <f t="shared" si="25"/>
        <v>1.3005000000000002</v>
      </c>
      <c r="AT6" s="25">
        <f t="shared" si="26"/>
        <v>27.310500000000001</v>
      </c>
      <c r="AU6" s="23">
        <v>0.03</v>
      </c>
      <c r="AV6" s="25">
        <f t="shared" si="27"/>
        <v>275.39999999999998</v>
      </c>
      <c r="AW6" s="25">
        <f t="shared" si="28"/>
        <v>9455.4</v>
      </c>
      <c r="AX6" s="23">
        <v>0.05</v>
      </c>
      <c r="AY6" s="25">
        <f t="shared" si="29"/>
        <v>472.77</v>
      </c>
      <c r="AZ6" s="25">
        <f t="shared" si="30"/>
        <v>9928.17</v>
      </c>
      <c r="BA6" s="23">
        <v>0.03</v>
      </c>
      <c r="BB6">
        <f t="shared" si="6"/>
        <v>0.76500000000000001</v>
      </c>
      <c r="BC6" s="25">
        <f t="shared" si="7"/>
        <v>26.265000000000001</v>
      </c>
      <c r="BD6" s="23">
        <v>0.05</v>
      </c>
      <c r="BE6" s="25">
        <f t="shared" si="31"/>
        <v>1.31325</v>
      </c>
      <c r="BF6" s="25">
        <f t="shared" si="32"/>
        <v>27.578250000000001</v>
      </c>
      <c r="BG6" s="23">
        <v>0.04</v>
      </c>
      <c r="BH6" s="25">
        <f t="shared" si="33"/>
        <v>367.2</v>
      </c>
      <c r="BI6" s="25">
        <f t="shared" si="34"/>
        <v>9547.2000000000007</v>
      </c>
      <c r="BJ6" s="23">
        <v>0.05</v>
      </c>
      <c r="BK6" s="25">
        <f t="shared" si="35"/>
        <v>477.36000000000007</v>
      </c>
      <c r="BL6" s="25">
        <f t="shared" si="36"/>
        <v>10024.560000000001</v>
      </c>
      <c r="BM6" s="23">
        <v>0.04</v>
      </c>
      <c r="BN6">
        <f t="shared" si="8"/>
        <v>1.02</v>
      </c>
      <c r="BO6" s="25">
        <f t="shared" si="37"/>
        <v>26.52</v>
      </c>
      <c r="BP6" s="23">
        <v>0.05</v>
      </c>
      <c r="BQ6" s="25">
        <f t="shared" si="38"/>
        <v>1.3260000000000001</v>
      </c>
      <c r="BR6" s="25">
        <f t="shared" si="39"/>
        <v>27.846</v>
      </c>
    </row>
    <row r="7" spans="1:70" ht="24.95" customHeight="1">
      <c r="A7" s="115"/>
      <c r="B7" s="8" t="s">
        <v>8</v>
      </c>
      <c r="C7" s="9" t="s">
        <v>17</v>
      </c>
      <c r="D7" s="10" t="s">
        <v>18</v>
      </c>
      <c r="E7" s="107" t="s">
        <v>11</v>
      </c>
      <c r="F7" s="108"/>
      <c r="G7" s="11">
        <v>7200</v>
      </c>
      <c r="H7" s="14">
        <v>30</v>
      </c>
      <c r="I7" s="13">
        <v>0.05</v>
      </c>
      <c r="J7" s="14">
        <v>110</v>
      </c>
      <c r="K7" s="24">
        <v>0.02</v>
      </c>
      <c r="L7" s="46">
        <f t="shared" si="9"/>
        <v>144</v>
      </c>
      <c r="M7" s="46">
        <f t="shared" si="10"/>
        <v>7344</v>
      </c>
      <c r="N7" s="23">
        <v>0.05</v>
      </c>
      <c r="O7" s="46">
        <f t="shared" si="11"/>
        <v>367.20000000000005</v>
      </c>
      <c r="P7" s="46">
        <f t="shared" si="12"/>
        <v>7711.2</v>
      </c>
      <c r="Q7" s="24">
        <v>0.02</v>
      </c>
      <c r="R7" s="27">
        <f t="shared" si="0"/>
        <v>0.6</v>
      </c>
      <c r="S7" s="25">
        <f t="shared" si="1"/>
        <v>30.6</v>
      </c>
      <c r="T7" s="23">
        <v>0.05</v>
      </c>
      <c r="U7" s="26">
        <f t="shared" si="13"/>
        <v>1.5300000000000002</v>
      </c>
      <c r="V7" s="25">
        <f t="shared" si="14"/>
        <v>32.130000000000003</v>
      </c>
      <c r="W7" s="23">
        <v>0.01</v>
      </c>
      <c r="X7" s="25">
        <f t="shared" si="15"/>
        <v>73.44</v>
      </c>
      <c r="Y7" s="25">
        <f t="shared" si="16"/>
        <v>7417.44</v>
      </c>
      <c r="Z7" s="23">
        <v>0.05</v>
      </c>
      <c r="AA7" s="25">
        <f t="shared" si="17"/>
        <v>370.87200000000001</v>
      </c>
      <c r="AB7" s="25">
        <f t="shared" si="18"/>
        <v>7788.3119999999999</v>
      </c>
      <c r="AC7" s="23">
        <v>0.01</v>
      </c>
      <c r="AD7">
        <f t="shared" si="2"/>
        <v>0.30599999999999999</v>
      </c>
      <c r="AE7" s="25">
        <f t="shared" si="3"/>
        <v>30.906000000000002</v>
      </c>
      <c r="AF7" s="23">
        <v>0.05</v>
      </c>
      <c r="AG7" s="25">
        <f t="shared" si="19"/>
        <v>1.5453000000000001</v>
      </c>
      <c r="AH7" s="25">
        <f t="shared" si="20"/>
        <v>32.451300000000003</v>
      </c>
      <c r="AI7" s="23">
        <v>0.02</v>
      </c>
      <c r="AJ7" s="25">
        <f t="shared" si="21"/>
        <v>146.88</v>
      </c>
      <c r="AK7" s="25">
        <f t="shared" si="22"/>
        <v>7490.88</v>
      </c>
      <c r="AL7" s="23">
        <v>0.05</v>
      </c>
      <c r="AM7" s="25">
        <f t="shared" si="23"/>
        <v>374.54400000000004</v>
      </c>
      <c r="AN7" s="25">
        <f t="shared" si="24"/>
        <v>7865.424</v>
      </c>
      <c r="AO7" s="23">
        <v>0.02</v>
      </c>
      <c r="AP7">
        <f t="shared" si="4"/>
        <v>0.61199999999999999</v>
      </c>
      <c r="AQ7" s="25">
        <f t="shared" si="5"/>
        <v>31.212</v>
      </c>
      <c r="AR7" s="23">
        <v>0.05</v>
      </c>
      <c r="AS7" s="25">
        <f t="shared" si="25"/>
        <v>1.5606</v>
      </c>
      <c r="AT7" s="25">
        <f t="shared" si="26"/>
        <v>32.772599999999997</v>
      </c>
      <c r="AU7" s="23">
        <v>0.03</v>
      </c>
      <c r="AV7" s="25">
        <f t="shared" si="27"/>
        <v>220.32</v>
      </c>
      <c r="AW7" s="25">
        <f t="shared" si="28"/>
        <v>7564.32</v>
      </c>
      <c r="AX7" s="23">
        <v>0.05</v>
      </c>
      <c r="AY7" s="25">
        <f t="shared" si="29"/>
        <v>378.21600000000001</v>
      </c>
      <c r="AZ7" s="25">
        <f t="shared" si="30"/>
        <v>7942.5360000000001</v>
      </c>
      <c r="BA7" s="23">
        <v>0.03</v>
      </c>
      <c r="BB7">
        <f t="shared" si="6"/>
        <v>0.91800000000000004</v>
      </c>
      <c r="BC7" s="25">
        <f t="shared" si="7"/>
        <v>31.518000000000001</v>
      </c>
      <c r="BD7" s="23">
        <v>0.05</v>
      </c>
      <c r="BE7" s="25">
        <f t="shared" si="31"/>
        <v>1.5759000000000001</v>
      </c>
      <c r="BF7" s="25">
        <f t="shared" si="32"/>
        <v>33.093899999999998</v>
      </c>
      <c r="BG7" s="23">
        <v>0.04</v>
      </c>
      <c r="BH7" s="25">
        <f t="shared" si="33"/>
        <v>293.76</v>
      </c>
      <c r="BI7" s="25">
        <f t="shared" si="34"/>
        <v>7637.76</v>
      </c>
      <c r="BJ7" s="23">
        <v>0.05</v>
      </c>
      <c r="BK7" s="25">
        <f t="shared" si="35"/>
        <v>381.88800000000003</v>
      </c>
      <c r="BL7" s="25">
        <f t="shared" si="36"/>
        <v>8019.6480000000001</v>
      </c>
      <c r="BM7" s="23">
        <v>0.04</v>
      </c>
      <c r="BN7">
        <f t="shared" si="8"/>
        <v>1.224</v>
      </c>
      <c r="BO7" s="25">
        <f t="shared" si="37"/>
        <v>31.824000000000002</v>
      </c>
      <c r="BP7" s="23">
        <v>0.05</v>
      </c>
      <c r="BQ7" s="25">
        <f t="shared" si="38"/>
        <v>1.5912000000000002</v>
      </c>
      <c r="BR7" s="25">
        <f t="shared" si="39"/>
        <v>33.415199999999999</v>
      </c>
    </row>
    <row r="8" spans="1:70" ht="24.95" customHeight="1">
      <c r="A8" s="115"/>
      <c r="B8" s="8" t="s">
        <v>8</v>
      </c>
      <c r="C8" s="9" t="s">
        <v>19</v>
      </c>
      <c r="D8" s="10" t="s">
        <v>20</v>
      </c>
      <c r="E8" s="107" t="s">
        <v>21</v>
      </c>
      <c r="F8" s="108"/>
      <c r="G8" s="11">
        <v>5000</v>
      </c>
      <c r="H8" s="14">
        <v>50</v>
      </c>
      <c r="I8" s="13">
        <v>0.05</v>
      </c>
      <c r="J8" s="14">
        <v>180</v>
      </c>
      <c r="K8" s="24">
        <v>0.02</v>
      </c>
      <c r="L8" s="46">
        <f t="shared" si="9"/>
        <v>100</v>
      </c>
      <c r="M8" s="46">
        <f t="shared" si="10"/>
        <v>5100</v>
      </c>
      <c r="N8" s="23">
        <v>0.05</v>
      </c>
      <c r="O8" s="46">
        <f t="shared" si="11"/>
        <v>255</v>
      </c>
      <c r="P8" s="46">
        <f t="shared" si="12"/>
        <v>5355</v>
      </c>
      <c r="Q8" s="24">
        <v>0.02</v>
      </c>
      <c r="R8" s="27">
        <f t="shared" si="0"/>
        <v>1</v>
      </c>
      <c r="S8" s="25">
        <f t="shared" si="1"/>
        <v>51</v>
      </c>
      <c r="T8" s="23">
        <v>0.05</v>
      </c>
      <c r="U8" s="26">
        <f t="shared" si="13"/>
        <v>2.5500000000000003</v>
      </c>
      <c r="V8" s="25">
        <f t="shared" si="14"/>
        <v>53.55</v>
      </c>
      <c r="W8" s="23">
        <v>0.01</v>
      </c>
      <c r="X8" s="25">
        <f t="shared" si="15"/>
        <v>51</v>
      </c>
      <c r="Y8" s="25">
        <f t="shared" si="16"/>
        <v>5151</v>
      </c>
      <c r="Z8" s="23">
        <v>0.05</v>
      </c>
      <c r="AA8" s="25">
        <f t="shared" si="17"/>
        <v>257.55</v>
      </c>
      <c r="AB8" s="25">
        <f t="shared" si="18"/>
        <v>5408.55</v>
      </c>
      <c r="AC8" s="23">
        <v>0.01</v>
      </c>
      <c r="AD8">
        <f t="shared" si="2"/>
        <v>0.51</v>
      </c>
      <c r="AE8" s="25">
        <f t="shared" si="3"/>
        <v>51.51</v>
      </c>
      <c r="AF8" s="23">
        <v>0.05</v>
      </c>
      <c r="AG8" s="25">
        <f t="shared" si="19"/>
        <v>2.5754999999999999</v>
      </c>
      <c r="AH8" s="25">
        <f t="shared" si="20"/>
        <v>54.085499999999996</v>
      </c>
      <c r="AI8" s="23">
        <v>0.02</v>
      </c>
      <c r="AJ8" s="25">
        <f t="shared" si="21"/>
        <v>102</v>
      </c>
      <c r="AK8" s="25">
        <f t="shared" si="22"/>
        <v>5202</v>
      </c>
      <c r="AL8" s="23">
        <v>0.05</v>
      </c>
      <c r="AM8" s="25">
        <f t="shared" si="23"/>
        <v>260.10000000000002</v>
      </c>
      <c r="AN8" s="25">
        <f t="shared" si="24"/>
        <v>5462.1</v>
      </c>
      <c r="AO8" s="23">
        <v>0.02</v>
      </c>
      <c r="AP8">
        <f t="shared" si="4"/>
        <v>1.02</v>
      </c>
      <c r="AQ8" s="25">
        <f t="shared" si="5"/>
        <v>52.02</v>
      </c>
      <c r="AR8" s="23">
        <v>0.05</v>
      </c>
      <c r="AS8" s="25">
        <f t="shared" si="25"/>
        <v>2.6010000000000004</v>
      </c>
      <c r="AT8" s="25">
        <f t="shared" si="26"/>
        <v>54.621000000000002</v>
      </c>
      <c r="AU8" s="23">
        <v>0.03</v>
      </c>
      <c r="AV8" s="25">
        <f t="shared" si="27"/>
        <v>153</v>
      </c>
      <c r="AW8" s="25">
        <f t="shared" si="28"/>
        <v>5253</v>
      </c>
      <c r="AX8" s="23">
        <v>0.05</v>
      </c>
      <c r="AY8" s="25">
        <f t="shared" si="29"/>
        <v>262.65000000000003</v>
      </c>
      <c r="AZ8" s="25">
        <f t="shared" si="30"/>
        <v>5515.65</v>
      </c>
      <c r="BA8" s="23">
        <v>0.03</v>
      </c>
      <c r="BB8">
        <f t="shared" si="6"/>
        <v>1.53</v>
      </c>
      <c r="BC8" s="25">
        <f t="shared" si="7"/>
        <v>52.53</v>
      </c>
      <c r="BD8" s="23">
        <v>0.05</v>
      </c>
      <c r="BE8" s="25">
        <f t="shared" si="31"/>
        <v>2.6265000000000001</v>
      </c>
      <c r="BF8" s="25">
        <f t="shared" si="32"/>
        <v>55.156500000000001</v>
      </c>
      <c r="BG8" s="23">
        <v>0.04</v>
      </c>
      <c r="BH8" s="25">
        <f t="shared" si="33"/>
        <v>204</v>
      </c>
      <c r="BI8" s="25">
        <f t="shared" si="34"/>
        <v>5304</v>
      </c>
      <c r="BJ8" s="23">
        <v>0.05</v>
      </c>
      <c r="BK8" s="25">
        <f t="shared" si="35"/>
        <v>265.2</v>
      </c>
      <c r="BL8" s="25">
        <f t="shared" si="36"/>
        <v>5569.2</v>
      </c>
      <c r="BM8" s="23">
        <v>0.04</v>
      </c>
      <c r="BN8">
        <f t="shared" si="8"/>
        <v>2.04</v>
      </c>
      <c r="BO8" s="25">
        <f t="shared" si="37"/>
        <v>53.04</v>
      </c>
      <c r="BP8" s="23">
        <v>0.05</v>
      </c>
      <c r="BQ8" s="25">
        <f t="shared" si="38"/>
        <v>2.6520000000000001</v>
      </c>
      <c r="BR8" s="25">
        <f t="shared" si="39"/>
        <v>55.692</v>
      </c>
    </row>
    <row r="9" spans="1:70" ht="24.95" customHeight="1">
      <c r="A9" s="115"/>
      <c r="B9" s="8" t="s">
        <v>8</v>
      </c>
      <c r="C9" s="9" t="s">
        <v>22</v>
      </c>
      <c r="D9" s="10" t="s">
        <v>20</v>
      </c>
      <c r="E9" s="107" t="s">
        <v>23</v>
      </c>
      <c r="F9" s="108"/>
      <c r="G9" s="11">
        <v>4800</v>
      </c>
      <c r="H9" s="14">
        <v>60</v>
      </c>
      <c r="I9" s="13">
        <v>0.05</v>
      </c>
      <c r="J9" s="14">
        <v>220</v>
      </c>
      <c r="K9" s="24">
        <v>0.02</v>
      </c>
      <c r="L9" s="46">
        <f t="shared" si="9"/>
        <v>96</v>
      </c>
      <c r="M9" s="46">
        <f t="shared" si="10"/>
        <v>4896</v>
      </c>
      <c r="N9" s="23">
        <v>0.05</v>
      </c>
      <c r="O9" s="46">
        <f t="shared" si="11"/>
        <v>244.8</v>
      </c>
      <c r="P9" s="46">
        <f t="shared" si="12"/>
        <v>5140.8</v>
      </c>
      <c r="Q9" s="24">
        <v>0.02</v>
      </c>
      <c r="R9" s="27">
        <f t="shared" si="0"/>
        <v>1.2</v>
      </c>
      <c r="S9" s="25">
        <f t="shared" si="1"/>
        <v>61.2</v>
      </c>
      <c r="T9" s="23">
        <v>0.05</v>
      </c>
      <c r="U9" s="26">
        <f t="shared" si="13"/>
        <v>3.0600000000000005</v>
      </c>
      <c r="V9" s="25">
        <f t="shared" si="14"/>
        <v>64.260000000000005</v>
      </c>
      <c r="W9" s="23">
        <v>0.01</v>
      </c>
      <c r="X9" s="25">
        <f t="shared" si="15"/>
        <v>48.96</v>
      </c>
      <c r="Y9" s="25">
        <f t="shared" si="16"/>
        <v>4944.96</v>
      </c>
      <c r="Z9" s="23">
        <v>0.05</v>
      </c>
      <c r="AA9" s="25">
        <f t="shared" si="17"/>
        <v>247.24800000000002</v>
      </c>
      <c r="AB9" s="25">
        <f t="shared" si="18"/>
        <v>5192.2079999999996</v>
      </c>
      <c r="AC9" s="23">
        <v>0.01</v>
      </c>
      <c r="AD9">
        <f t="shared" si="2"/>
        <v>0.61199999999999999</v>
      </c>
      <c r="AE9" s="25">
        <f t="shared" si="3"/>
        <v>61.812000000000005</v>
      </c>
      <c r="AF9" s="23">
        <v>0.05</v>
      </c>
      <c r="AG9" s="25">
        <f t="shared" si="19"/>
        <v>3.0906000000000002</v>
      </c>
      <c r="AH9" s="25">
        <f t="shared" si="20"/>
        <v>64.902600000000007</v>
      </c>
      <c r="AI9" s="23">
        <v>0.02</v>
      </c>
      <c r="AJ9" s="25">
        <f t="shared" si="21"/>
        <v>97.92</v>
      </c>
      <c r="AK9" s="25">
        <f t="shared" si="22"/>
        <v>4993.92</v>
      </c>
      <c r="AL9" s="23">
        <v>0.05</v>
      </c>
      <c r="AM9" s="25">
        <f t="shared" si="23"/>
        <v>249.69600000000003</v>
      </c>
      <c r="AN9" s="25">
        <f t="shared" si="24"/>
        <v>5243.616</v>
      </c>
      <c r="AO9" s="23">
        <v>0.02</v>
      </c>
      <c r="AP9">
        <f t="shared" si="4"/>
        <v>1.224</v>
      </c>
      <c r="AQ9" s="25">
        <f t="shared" si="5"/>
        <v>62.423999999999999</v>
      </c>
      <c r="AR9" s="23">
        <v>0.05</v>
      </c>
      <c r="AS9" s="25">
        <f t="shared" si="25"/>
        <v>3.1212</v>
      </c>
      <c r="AT9" s="25">
        <f t="shared" si="26"/>
        <v>65.545199999999994</v>
      </c>
      <c r="AU9" s="23">
        <v>0.03</v>
      </c>
      <c r="AV9" s="25">
        <f t="shared" si="27"/>
        <v>146.88</v>
      </c>
      <c r="AW9" s="25">
        <f t="shared" si="28"/>
        <v>5042.88</v>
      </c>
      <c r="AX9" s="23">
        <v>0.05</v>
      </c>
      <c r="AY9" s="25">
        <f t="shared" si="29"/>
        <v>252.14400000000001</v>
      </c>
      <c r="AZ9" s="25">
        <f t="shared" si="30"/>
        <v>5295.0240000000003</v>
      </c>
      <c r="BA9" s="23">
        <v>0.03</v>
      </c>
      <c r="BB9">
        <f t="shared" si="6"/>
        <v>1.8360000000000001</v>
      </c>
      <c r="BC9" s="25">
        <f t="shared" si="7"/>
        <v>63.036000000000001</v>
      </c>
      <c r="BD9" s="23">
        <v>0.05</v>
      </c>
      <c r="BE9" s="25">
        <f t="shared" si="31"/>
        <v>3.1518000000000002</v>
      </c>
      <c r="BF9" s="25">
        <f t="shared" si="32"/>
        <v>66.187799999999996</v>
      </c>
      <c r="BG9" s="23">
        <v>0.04</v>
      </c>
      <c r="BH9" s="25">
        <f t="shared" si="33"/>
        <v>195.84</v>
      </c>
      <c r="BI9" s="25">
        <f t="shared" si="34"/>
        <v>5091.84</v>
      </c>
      <c r="BJ9" s="23">
        <v>0.05</v>
      </c>
      <c r="BK9" s="25">
        <f t="shared" si="35"/>
        <v>254.59200000000001</v>
      </c>
      <c r="BL9" s="25">
        <f t="shared" si="36"/>
        <v>5346.4319999999998</v>
      </c>
      <c r="BM9" s="23">
        <v>0.04</v>
      </c>
      <c r="BN9">
        <f t="shared" si="8"/>
        <v>2.448</v>
      </c>
      <c r="BO9" s="25">
        <f t="shared" si="37"/>
        <v>63.648000000000003</v>
      </c>
      <c r="BP9" s="23">
        <v>0.05</v>
      </c>
      <c r="BQ9" s="25">
        <f t="shared" si="38"/>
        <v>3.1824000000000003</v>
      </c>
      <c r="BR9" s="25">
        <f t="shared" si="39"/>
        <v>66.830399999999997</v>
      </c>
    </row>
    <row r="10" spans="1:70" ht="24.95" customHeight="1">
      <c r="A10" s="115"/>
      <c r="B10" s="8" t="s">
        <v>8</v>
      </c>
      <c r="C10" s="9" t="s">
        <v>24</v>
      </c>
      <c r="D10" s="10" t="s">
        <v>20</v>
      </c>
      <c r="E10" s="107" t="s">
        <v>25</v>
      </c>
      <c r="F10" s="108"/>
      <c r="G10" s="11">
        <v>6600</v>
      </c>
      <c r="H10" s="14">
        <v>100</v>
      </c>
      <c r="I10" s="13">
        <v>0.05</v>
      </c>
      <c r="J10" s="14">
        <v>285</v>
      </c>
      <c r="K10" s="24">
        <v>0.02</v>
      </c>
      <c r="L10" s="46">
        <f t="shared" si="9"/>
        <v>132</v>
      </c>
      <c r="M10" s="46">
        <f t="shared" si="10"/>
        <v>6732</v>
      </c>
      <c r="N10" s="23">
        <v>0.05</v>
      </c>
      <c r="O10" s="46">
        <f t="shared" si="11"/>
        <v>336.6</v>
      </c>
      <c r="P10" s="46">
        <f t="shared" si="12"/>
        <v>7068.6</v>
      </c>
      <c r="Q10" s="24">
        <v>0.02</v>
      </c>
      <c r="R10" s="27">
        <f t="shared" si="0"/>
        <v>2</v>
      </c>
      <c r="S10" s="25">
        <f t="shared" si="1"/>
        <v>102</v>
      </c>
      <c r="T10" s="23">
        <v>0.05</v>
      </c>
      <c r="U10" s="26">
        <f t="shared" si="13"/>
        <v>5.1000000000000005</v>
      </c>
      <c r="V10" s="25">
        <f t="shared" si="14"/>
        <v>107.1</v>
      </c>
      <c r="W10" s="23">
        <v>0.01</v>
      </c>
      <c r="X10" s="25">
        <f t="shared" si="15"/>
        <v>67.320000000000007</v>
      </c>
      <c r="Y10" s="25">
        <f t="shared" si="16"/>
        <v>6799.32</v>
      </c>
      <c r="Z10" s="23">
        <v>0.05</v>
      </c>
      <c r="AA10" s="25">
        <f t="shared" si="17"/>
        <v>339.96600000000001</v>
      </c>
      <c r="AB10" s="25">
        <f t="shared" si="18"/>
        <v>7139.2860000000001</v>
      </c>
      <c r="AC10" s="23">
        <v>0.01</v>
      </c>
      <c r="AD10">
        <f t="shared" si="2"/>
        <v>1.02</v>
      </c>
      <c r="AE10" s="25">
        <f t="shared" si="3"/>
        <v>103.02</v>
      </c>
      <c r="AF10" s="23">
        <v>0.05</v>
      </c>
      <c r="AG10" s="25">
        <f t="shared" si="19"/>
        <v>5.1509999999999998</v>
      </c>
      <c r="AH10" s="25">
        <f t="shared" si="20"/>
        <v>108.17099999999999</v>
      </c>
      <c r="AI10" s="23">
        <v>0.02</v>
      </c>
      <c r="AJ10" s="25">
        <f t="shared" si="21"/>
        <v>134.64000000000001</v>
      </c>
      <c r="AK10" s="25">
        <f t="shared" si="22"/>
        <v>6866.64</v>
      </c>
      <c r="AL10" s="23">
        <v>0.05</v>
      </c>
      <c r="AM10" s="25">
        <f t="shared" si="23"/>
        <v>343.33200000000005</v>
      </c>
      <c r="AN10" s="25">
        <f t="shared" si="24"/>
        <v>7209.9720000000007</v>
      </c>
      <c r="AO10" s="23">
        <v>0.02</v>
      </c>
      <c r="AP10">
        <f t="shared" si="4"/>
        <v>2.04</v>
      </c>
      <c r="AQ10" s="25">
        <f t="shared" si="5"/>
        <v>104.04</v>
      </c>
      <c r="AR10" s="23">
        <v>0.05</v>
      </c>
      <c r="AS10" s="25">
        <f t="shared" si="25"/>
        <v>5.2020000000000008</v>
      </c>
      <c r="AT10" s="25">
        <f t="shared" si="26"/>
        <v>109.242</v>
      </c>
      <c r="AU10" s="23">
        <v>0.03</v>
      </c>
      <c r="AV10" s="25">
        <f t="shared" si="27"/>
        <v>201.95999999999998</v>
      </c>
      <c r="AW10" s="25">
        <f t="shared" si="28"/>
        <v>6933.96</v>
      </c>
      <c r="AX10" s="23">
        <v>0.05</v>
      </c>
      <c r="AY10" s="25">
        <f t="shared" si="29"/>
        <v>346.69800000000004</v>
      </c>
      <c r="AZ10" s="25">
        <f t="shared" si="30"/>
        <v>7280.6580000000004</v>
      </c>
      <c r="BA10" s="23">
        <v>0.03</v>
      </c>
      <c r="BB10">
        <f t="shared" si="6"/>
        <v>3.06</v>
      </c>
      <c r="BC10" s="25">
        <f t="shared" si="7"/>
        <v>105.06</v>
      </c>
      <c r="BD10" s="23">
        <v>0.05</v>
      </c>
      <c r="BE10" s="25">
        <f t="shared" si="31"/>
        <v>5.2530000000000001</v>
      </c>
      <c r="BF10" s="25">
        <f t="shared" si="32"/>
        <v>110.313</v>
      </c>
      <c r="BG10" s="23">
        <v>0.04</v>
      </c>
      <c r="BH10" s="25">
        <f t="shared" si="33"/>
        <v>269.28000000000003</v>
      </c>
      <c r="BI10" s="25">
        <f t="shared" si="34"/>
        <v>7001.28</v>
      </c>
      <c r="BJ10" s="23">
        <v>0.05</v>
      </c>
      <c r="BK10" s="25">
        <f t="shared" si="35"/>
        <v>350.06400000000002</v>
      </c>
      <c r="BL10" s="25">
        <f t="shared" si="36"/>
        <v>7351.3440000000001</v>
      </c>
      <c r="BM10" s="23">
        <v>0.04</v>
      </c>
      <c r="BN10">
        <f t="shared" si="8"/>
        <v>4.08</v>
      </c>
      <c r="BO10" s="25">
        <f t="shared" si="37"/>
        <v>106.08</v>
      </c>
      <c r="BP10" s="23">
        <v>0.05</v>
      </c>
      <c r="BQ10" s="25">
        <f t="shared" si="38"/>
        <v>5.3040000000000003</v>
      </c>
      <c r="BR10" s="25">
        <f t="shared" si="39"/>
        <v>111.384</v>
      </c>
    </row>
    <row r="11" spans="1:70" ht="16.5" customHeight="1">
      <c r="A11" s="116"/>
      <c r="B11" s="8" t="s">
        <v>8</v>
      </c>
      <c r="C11" s="9" t="s">
        <v>26</v>
      </c>
      <c r="D11" s="10" t="s">
        <v>20</v>
      </c>
      <c r="E11" s="107" t="s">
        <v>25</v>
      </c>
      <c r="F11" s="108"/>
      <c r="G11" s="11">
        <v>7200</v>
      </c>
      <c r="H11" s="14">
        <v>120</v>
      </c>
      <c r="I11" s="13">
        <v>0.05</v>
      </c>
      <c r="J11" s="14">
        <v>420</v>
      </c>
      <c r="K11" s="24">
        <v>0.02</v>
      </c>
      <c r="L11" s="46">
        <f t="shared" si="9"/>
        <v>144</v>
      </c>
      <c r="M11" s="46">
        <f t="shared" si="10"/>
        <v>7344</v>
      </c>
      <c r="N11" s="23">
        <v>0.05</v>
      </c>
      <c r="O11" s="46">
        <f t="shared" si="11"/>
        <v>367.20000000000005</v>
      </c>
      <c r="P11" s="46">
        <f t="shared" si="12"/>
        <v>7711.2</v>
      </c>
      <c r="Q11" s="24">
        <v>0.02</v>
      </c>
      <c r="R11" s="27">
        <f t="shared" si="0"/>
        <v>2.4</v>
      </c>
      <c r="S11" s="25">
        <f t="shared" si="1"/>
        <v>122.4</v>
      </c>
      <c r="T11" s="23">
        <v>0.05</v>
      </c>
      <c r="U11" s="26">
        <f t="shared" si="13"/>
        <v>6.120000000000001</v>
      </c>
      <c r="V11" s="25">
        <f t="shared" si="14"/>
        <v>128.52000000000001</v>
      </c>
      <c r="W11" s="23">
        <v>0.01</v>
      </c>
      <c r="X11" s="25">
        <f t="shared" si="15"/>
        <v>73.44</v>
      </c>
      <c r="Y11" s="25">
        <f t="shared" si="16"/>
        <v>7417.44</v>
      </c>
      <c r="Z11" s="23">
        <v>0.05</v>
      </c>
      <c r="AA11" s="25">
        <f t="shared" si="17"/>
        <v>370.87200000000001</v>
      </c>
      <c r="AB11" s="25">
        <f t="shared" si="18"/>
        <v>7788.3119999999999</v>
      </c>
      <c r="AC11" s="23">
        <v>0.01</v>
      </c>
      <c r="AD11">
        <f t="shared" si="2"/>
        <v>1.224</v>
      </c>
      <c r="AE11" s="25">
        <f t="shared" si="3"/>
        <v>123.62400000000001</v>
      </c>
      <c r="AF11" s="23">
        <v>0.05</v>
      </c>
      <c r="AG11" s="25">
        <f t="shared" si="19"/>
        <v>6.1812000000000005</v>
      </c>
      <c r="AH11" s="25">
        <f t="shared" si="20"/>
        <v>129.80520000000001</v>
      </c>
      <c r="AI11" s="23">
        <v>0.02</v>
      </c>
      <c r="AJ11" s="25">
        <f t="shared" si="21"/>
        <v>146.88</v>
      </c>
      <c r="AK11" s="25">
        <f t="shared" si="22"/>
        <v>7490.88</v>
      </c>
      <c r="AL11" s="23">
        <v>0.05</v>
      </c>
      <c r="AM11" s="25">
        <f t="shared" si="23"/>
        <v>374.54400000000004</v>
      </c>
      <c r="AN11" s="25">
        <f t="shared" si="24"/>
        <v>7865.424</v>
      </c>
      <c r="AO11" s="23">
        <v>0.02</v>
      </c>
      <c r="AP11">
        <f t="shared" si="4"/>
        <v>2.448</v>
      </c>
      <c r="AQ11" s="25">
        <f t="shared" si="5"/>
        <v>124.848</v>
      </c>
      <c r="AR11" s="23">
        <v>0.05</v>
      </c>
      <c r="AS11" s="25">
        <f t="shared" si="25"/>
        <v>6.2423999999999999</v>
      </c>
      <c r="AT11" s="25">
        <f t="shared" si="26"/>
        <v>131.09039999999999</v>
      </c>
      <c r="AU11" s="23">
        <v>0.03</v>
      </c>
      <c r="AV11" s="25">
        <f t="shared" si="27"/>
        <v>220.32</v>
      </c>
      <c r="AW11" s="25">
        <f t="shared" si="28"/>
        <v>7564.32</v>
      </c>
      <c r="AX11" s="23">
        <v>0.05</v>
      </c>
      <c r="AY11" s="25">
        <f t="shared" si="29"/>
        <v>378.21600000000001</v>
      </c>
      <c r="AZ11" s="25">
        <f t="shared" si="30"/>
        <v>7942.5360000000001</v>
      </c>
      <c r="BA11" s="23">
        <v>0.03</v>
      </c>
      <c r="BB11">
        <f t="shared" si="6"/>
        <v>3.6720000000000002</v>
      </c>
      <c r="BC11" s="25">
        <f t="shared" si="7"/>
        <v>126.072</v>
      </c>
      <c r="BD11" s="23">
        <v>0.05</v>
      </c>
      <c r="BE11" s="25">
        <f t="shared" si="31"/>
        <v>6.3036000000000003</v>
      </c>
      <c r="BF11" s="25">
        <f t="shared" si="32"/>
        <v>132.37559999999999</v>
      </c>
      <c r="BG11" s="23">
        <v>0.04</v>
      </c>
      <c r="BH11" s="25">
        <f t="shared" si="33"/>
        <v>293.76</v>
      </c>
      <c r="BI11" s="25">
        <f t="shared" si="34"/>
        <v>7637.76</v>
      </c>
      <c r="BJ11" s="23">
        <v>0.05</v>
      </c>
      <c r="BK11" s="25">
        <f t="shared" si="35"/>
        <v>381.88800000000003</v>
      </c>
      <c r="BL11" s="25">
        <f t="shared" si="36"/>
        <v>8019.6480000000001</v>
      </c>
      <c r="BM11" s="23">
        <v>0.04</v>
      </c>
      <c r="BN11">
        <f t="shared" si="8"/>
        <v>4.8959999999999999</v>
      </c>
      <c r="BO11" s="25">
        <f t="shared" si="37"/>
        <v>127.29600000000001</v>
      </c>
      <c r="BP11" s="23">
        <v>0.05</v>
      </c>
      <c r="BQ11" s="25">
        <f t="shared" si="38"/>
        <v>6.3648000000000007</v>
      </c>
      <c r="BR11" s="25">
        <f t="shared" si="39"/>
        <v>133.66079999999999</v>
      </c>
    </row>
    <row r="12" spans="1:70" ht="15.95" customHeight="1">
      <c r="A12" s="15"/>
      <c r="B12" s="16"/>
      <c r="C12" s="100" t="s">
        <v>27</v>
      </c>
      <c r="D12" s="100"/>
      <c r="E12" s="100"/>
      <c r="F12" s="101" t="s">
        <v>28</v>
      </c>
      <c r="G12" s="101"/>
      <c r="H12" s="16"/>
      <c r="I12" s="16"/>
      <c r="J12" s="17"/>
      <c r="K12" s="24">
        <v>0.02</v>
      </c>
      <c r="L12" s="46">
        <f t="shared" si="9"/>
        <v>0</v>
      </c>
      <c r="M12" s="46">
        <f t="shared" si="10"/>
        <v>0</v>
      </c>
      <c r="N12" s="23">
        <v>0.05</v>
      </c>
      <c r="O12" s="46">
        <f t="shared" si="11"/>
        <v>0</v>
      </c>
      <c r="P12" s="46">
        <f t="shared" si="12"/>
        <v>0</v>
      </c>
      <c r="Q12" s="24"/>
      <c r="S12" s="25"/>
      <c r="U12" s="26">
        <f t="shared" si="13"/>
        <v>0</v>
      </c>
      <c r="V12" s="25">
        <f t="shared" si="14"/>
        <v>0</v>
      </c>
      <c r="W12" s="23">
        <v>0.01</v>
      </c>
      <c r="X12" s="25">
        <f t="shared" si="15"/>
        <v>0</v>
      </c>
      <c r="Y12" s="25">
        <f t="shared" si="16"/>
        <v>0</v>
      </c>
      <c r="Z12" s="23">
        <v>0.05</v>
      </c>
      <c r="AA12" s="25">
        <f t="shared" si="17"/>
        <v>0</v>
      </c>
      <c r="AB12" s="25">
        <f t="shared" si="18"/>
        <v>0</v>
      </c>
      <c r="AC12" s="23"/>
      <c r="AE12" s="25"/>
      <c r="AF12" s="23">
        <v>0</v>
      </c>
      <c r="AG12" s="25">
        <f t="shared" si="19"/>
        <v>0</v>
      </c>
      <c r="AH12" s="25">
        <f t="shared" si="20"/>
        <v>0</v>
      </c>
      <c r="AI12" s="23">
        <v>0.02</v>
      </c>
      <c r="AJ12" s="25">
        <f t="shared" si="21"/>
        <v>0</v>
      </c>
      <c r="AK12" s="25">
        <f t="shared" si="22"/>
        <v>0</v>
      </c>
      <c r="AL12" s="23">
        <v>0.05</v>
      </c>
      <c r="AM12" s="25">
        <f t="shared" si="23"/>
        <v>0</v>
      </c>
      <c r="AN12" s="25">
        <f t="shared" si="24"/>
        <v>0</v>
      </c>
      <c r="AO12" s="23"/>
      <c r="AQ12" s="25"/>
      <c r="AS12" s="25">
        <f t="shared" si="25"/>
        <v>0</v>
      </c>
      <c r="AT12" s="25">
        <f t="shared" si="26"/>
        <v>0</v>
      </c>
      <c r="AU12" s="23">
        <v>0.03</v>
      </c>
      <c r="AV12" s="25">
        <f t="shared" si="27"/>
        <v>0</v>
      </c>
      <c r="AW12" s="25">
        <f t="shared" si="28"/>
        <v>0</v>
      </c>
      <c r="AX12" s="23">
        <v>0.05</v>
      </c>
      <c r="AY12" s="25">
        <f t="shared" si="29"/>
        <v>0</v>
      </c>
      <c r="AZ12" s="25">
        <f t="shared" si="30"/>
        <v>0</v>
      </c>
      <c r="BA12" s="23"/>
      <c r="BC12" s="25"/>
      <c r="BE12" s="25">
        <f t="shared" si="31"/>
        <v>0</v>
      </c>
      <c r="BF12" s="25">
        <f t="shared" si="32"/>
        <v>0</v>
      </c>
      <c r="BG12" s="23">
        <v>0.04</v>
      </c>
      <c r="BH12" s="25">
        <f t="shared" si="33"/>
        <v>0</v>
      </c>
      <c r="BI12" s="25">
        <f t="shared" si="34"/>
        <v>0</v>
      </c>
      <c r="BJ12" s="23">
        <v>0.05</v>
      </c>
      <c r="BK12" s="25">
        <f t="shared" si="35"/>
        <v>0</v>
      </c>
      <c r="BL12" s="25">
        <f t="shared" si="36"/>
        <v>0</v>
      </c>
      <c r="BM12" s="23"/>
      <c r="BO12" s="25"/>
      <c r="BP12" s="23"/>
      <c r="BQ12" s="25">
        <f t="shared" si="38"/>
        <v>0</v>
      </c>
      <c r="BR12" s="25">
        <f t="shared" si="39"/>
        <v>0</v>
      </c>
    </row>
    <row r="13" spans="1:70" ht="15.95" customHeight="1">
      <c r="A13" s="4"/>
      <c r="B13" s="18"/>
      <c r="C13" s="102"/>
      <c r="D13" s="102"/>
      <c r="E13" s="102"/>
      <c r="F13" s="103" t="s">
        <v>3</v>
      </c>
      <c r="G13" s="103"/>
      <c r="H13" s="19" t="s">
        <v>4</v>
      </c>
      <c r="I13" s="20" t="s">
        <v>5</v>
      </c>
      <c r="J13" s="21" t="s">
        <v>6</v>
      </c>
      <c r="K13" s="24">
        <v>0.02</v>
      </c>
      <c r="L13" s="46">
        <f t="shared" si="9"/>
        <v>0</v>
      </c>
      <c r="M13" s="46">
        <f t="shared" si="10"/>
        <v>0</v>
      </c>
      <c r="N13" s="23">
        <v>0.05</v>
      </c>
      <c r="O13" s="46">
        <f t="shared" si="11"/>
        <v>0</v>
      </c>
      <c r="P13" s="46">
        <f t="shared" si="12"/>
        <v>0</v>
      </c>
      <c r="Q13" s="24"/>
      <c r="S13" s="25"/>
      <c r="U13" s="26">
        <f t="shared" si="13"/>
        <v>0</v>
      </c>
      <c r="V13" s="25">
        <f t="shared" si="14"/>
        <v>0</v>
      </c>
      <c r="W13" s="23">
        <v>0.01</v>
      </c>
      <c r="X13" s="25">
        <f t="shared" si="15"/>
        <v>0</v>
      </c>
      <c r="Y13" s="25">
        <f t="shared" si="16"/>
        <v>0</v>
      </c>
      <c r="Z13" s="23">
        <v>0.05</v>
      </c>
      <c r="AA13" s="25">
        <f t="shared" si="17"/>
        <v>0</v>
      </c>
      <c r="AB13" s="25">
        <f t="shared" si="18"/>
        <v>0</v>
      </c>
      <c r="AC13" s="23"/>
      <c r="AE13" s="25"/>
      <c r="AF13" s="23">
        <v>0</v>
      </c>
      <c r="AG13" s="25">
        <f t="shared" si="19"/>
        <v>0</v>
      </c>
      <c r="AH13" s="25">
        <f t="shared" si="20"/>
        <v>0</v>
      </c>
      <c r="AI13" s="23">
        <v>0.02</v>
      </c>
      <c r="AJ13" s="25">
        <f t="shared" si="21"/>
        <v>0</v>
      </c>
      <c r="AK13" s="25">
        <f t="shared" si="22"/>
        <v>0</v>
      </c>
      <c r="AL13" s="23">
        <v>0.05</v>
      </c>
      <c r="AM13" s="25">
        <f t="shared" si="23"/>
        <v>0</v>
      </c>
      <c r="AN13" s="25">
        <f t="shared" si="24"/>
        <v>0</v>
      </c>
      <c r="AO13" s="23"/>
      <c r="AQ13" s="25"/>
      <c r="AS13" s="25">
        <f t="shared" si="25"/>
        <v>0</v>
      </c>
      <c r="AT13" s="25">
        <f t="shared" si="26"/>
        <v>0</v>
      </c>
      <c r="AU13" s="23">
        <v>0.03</v>
      </c>
      <c r="AV13" s="25">
        <f t="shared" si="27"/>
        <v>0</v>
      </c>
      <c r="AW13" s="25">
        <f t="shared" si="28"/>
        <v>0</v>
      </c>
      <c r="AX13" s="23">
        <v>0.05</v>
      </c>
      <c r="AY13" s="25">
        <f t="shared" si="29"/>
        <v>0</v>
      </c>
      <c r="AZ13" s="25">
        <f t="shared" si="30"/>
        <v>0</v>
      </c>
      <c r="BA13" s="23"/>
      <c r="BC13" s="25"/>
      <c r="BE13" s="25">
        <f t="shared" si="31"/>
        <v>0</v>
      </c>
      <c r="BF13" s="25">
        <f t="shared" si="32"/>
        <v>0</v>
      </c>
      <c r="BG13" s="23">
        <v>0.04</v>
      </c>
      <c r="BH13" s="25">
        <f t="shared" si="33"/>
        <v>0</v>
      </c>
      <c r="BI13" s="25">
        <f t="shared" si="34"/>
        <v>0</v>
      </c>
      <c r="BJ13" s="23">
        <v>0.05</v>
      </c>
      <c r="BK13" s="25">
        <f t="shared" si="35"/>
        <v>0</v>
      </c>
      <c r="BL13" s="25">
        <f t="shared" si="36"/>
        <v>0</v>
      </c>
      <c r="BM13" s="23"/>
      <c r="BO13" s="25"/>
      <c r="BP13" s="23"/>
      <c r="BQ13" s="25">
        <f t="shared" si="38"/>
        <v>0</v>
      </c>
      <c r="BR13" s="25">
        <f t="shared" si="39"/>
        <v>0</v>
      </c>
    </row>
    <row r="14" spans="1:70" ht="15.95" customHeight="1">
      <c r="A14" s="104" t="s">
        <v>7</v>
      </c>
      <c r="B14" s="8" t="s">
        <v>8</v>
      </c>
      <c r="C14" s="9" t="s">
        <v>29</v>
      </c>
      <c r="D14" s="10" t="s">
        <v>10</v>
      </c>
      <c r="E14" s="107" t="s">
        <v>11</v>
      </c>
      <c r="F14" s="108"/>
      <c r="G14" s="11">
        <v>6720</v>
      </c>
      <c r="H14" s="22">
        <v>7</v>
      </c>
      <c r="I14" s="13">
        <v>0.05</v>
      </c>
      <c r="J14" s="14">
        <v>30</v>
      </c>
      <c r="K14" s="24">
        <v>0.02</v>
      </c>
      <c r="L14" s="46">
        <f t="shared" si="9"/>
        <v>134.4</v>
      </c>
      <c r="M14" s="46">
        <f>G14+L14</f>
        <v>6854.4</v>
      </c>
      <c r="N14" s="23">
        <v>0.05</v>
      </c>
      <c r="O14" s="46">
        <f t="shared" si="11"/>
        <v>342.72</v>
      </c>
      <c r="P14" s="46">
        <f t="shared" si="12"/>
        <v>7197.12</v>
      </c>
      <c r="Q14" s="24">
        <v>0.02</v>
      </c>
      <c r="R14" s="27">
        <f t="shared" ref="R14:R20" si="40">H14*Q14</f>
        <v>0.14000000000000001</v>
      </c>
      <c r="S14" s="25">
        <f t="shared" ref="S14:S20" si="41">H14+R14</f>
        <v>7.14</v>
      </c>
      <c r="T14" s="23">
        <v>0.05</v>
      </c>
      <c r="U14" s="26">
        <f t="shared" si="13"/>
        <v>0.35699999999999998</v>
      </c>
      <c r="V14" s="25">
        <f t="shared" si="14"/>
        <v>7.4969999999999999</v>
      </c>
      <c r="W14" s="23">
        <v>0.01</v>
      </c>
      <c r="X14" s="25">
        <f t="shared" si="15"/>
        <v>68.543999999999997</v>
      </c>
      <c r="Y14" s="25">
        <f t="shared" si="16"/>
        <v>6922.9439999999995</v>
      </c>
      <c r="Z14" s="23">
        <v>0.05</v>
      </c>
      <c r="AA14" s="25">
        <f t="shared" si="17"/>
        <v>346.1472</v>
      </c>
      <c r="AB14" s="25">
        <f t="shared" si="18"/>
        <v>7269.0911999999998</v>
      </c>
      <c r="AC14" s="23">
        <v>0.01</v>
      </c>
      <c r="AD14">
        <f t="shared" ref="AD14:AD20" si="42">S14*AC14</f>
        <v>7.1400000000000005E-2</v>
      </c>
      <c r="AE14" s="25">
        <f t="shared" ref="AE14:AE20" si="43">S14+AD14</f>
        <v>7.2113999999999994</v>
      </c>
      <c r="AF14" s="23">
        <v>0.05</v>
      </c>
      <c r="AG14" s="25">
        <f t="shared" si="19"/>
        <v>0.36057</v>
      </c>
      <c r="AH14" s="25">
        <f t="shared" si="20"/>
        <v>7.5719699999999994</v>
      </c>
      <c r="AI14" s="23">
        <v>0.02</v>
      </c>
      <c r="AJ14" s="25">
        <f t="shared" si="21"/>
        <v>137.08799999999999</v>
      </c>
      <c r="AK14" s="25">
        <f t="shared" si="22"/>
        <v>6991.4879999999994</v>
      </c>
      <c r="AL14" s="23">
        <v>0.05</v>
      </c>
      <c r="AM14" s="25">
        <f t="shared" si="23"/>
        <v>349.57439999999997</v>
      </c>
      <c r="AN14" s="25">
        <f t="shared" si="24"/>
        <v>7341.0623999999989</v>
      </c>
      <c r="AO14" s="23">
        <v>0.02</v>
      </c>
      <c r="AP14">
        <f t="shared" ref="AP14:AP20" si="44">S14*AO14</f>
        <v>0.14280000000000001</v>
      </c>
      <c r="AQ14" s="25">
        <f t="shared" ref="AQ14:AQ20" si="45">S14+AP14</f>
        <v>7.2827999999999999</v>
      </c>
      <c r="AR14" s="23">
        <v>0.05</v>
      </c>
      <c r="AS14" s="25">
        <f t="shared" si="25"/>
        <v>0.36414000000000002</v>
      </c>
      <c r="AT14" s="25">
        <f t="shared" si="26"/>
        <v>7.6469399999999998</v>
      </c>
      <c r="AU14" s="23">
        <v>0.03</v>
      </c>
      <c r="AV14" s="25">
        <f t="shared" si="27"/>
        <v>205.63199999999998</v>
      </c>
      <c r="AW14" s="25">
        <f t="shared" si="28"/>
        <v>7060.0319999999992</v>
      </c>
      <c r="AX14" s="23">
        <v>0.05</v>
      </c>
      <c r="AY14" s="25">
        <f t="shared" si="29"/>
        <v>353.0016</v>
      </c>
      <c r="AZ14" s="25">
        <f t="shared" si="30"/>
        <v>7413.0335999999988</v>
      </c>
      <c r="BA14" s="23">
        <v>0.03</v>
      </c>
      <c r="BB14">
        <f t="shared" ref="BB14:BB20" si="46">S14*BA14</f>
        <v>0.21419999999999997</v>
      </c>
      <c r="BC14" s="25">
        <f t="shared" ref="BC14:BC20" si="47">S14+BB14</f>
        <v>7.3541999999999996</v>
      </c>
      <c r="BD14" s="23">
        <v>0.05</v>
      </c>
      <c r="BE14" s="25">
        <f t="shared" si="31"/>
        <v>0.36770999999999998</v>
      </c>
      <c r="BF14" s="25">
        <f t="shared" si="32"/>
        <v>7.7219099999999994</v>
      </c>
      <c r="BG14" s="23">
        <v>0.04</v>
      </c>
      <c r="BH14" s="25">
        <f t="shared" si="33"/>
        <v>274.17599999999999</v>
      </c>
      <c r="BI14" s="25">
        <f t="shared" si="34"/>
        <v>7128.576</v>
      </c>
      <c r="BJ14" s="23">
        <v>0.05</v>
      </c>
      <c r="BK14" s="25">
        <f t="shared" si="35"/>
        <v>356.42880000000002</v>
      </c>
      <c r="BL14" s="25">
        <f t="shared" si="36"/>
        <v>7485.0047999999997</v>
      </c>
      <c r="BM14" s="23">
        <v>0.04</v>
      </c>
      <c r="BN14">
        <f t="shared" ref="BN14:BN20" si="48">S14*BM14</f>
        <v>0.28560000000000002</v>
      </c>
      <c r="BO14" s="25">
        <f t="shared" ref="BO14:BO20" si="49">S14+BN14</f>
        <v>7.4255999999999993</v>
      </c>
      <c r="BP14" s="23">
        <v>0.05</v>
      </c>
      <c r="BQ14" s="25">
        <f t="shared" si="38"/>
        <v>0.37128</v>
      </c>
      <c r="BR14" s="25">
        <f t="shared" si="39"/>
        <v>7.7968799999999989</v>
      </c>
    </row>
    <row r="15" spans="1:70" ht="15.95" customHeight="1">
      <c r="A15" s="105"/>
      <c r="B15" s="8" t="s">
        <v>8</v>
      </c>
      <c r="C15" s="9" t="s">
        <v>30</v>
      </c>
      <c r="D15" s="10" t="s">
        <v>13</v>
      </c>
      <c r="E15" s="107" t="s">
        <v>11</v>
      </c>
      <c r="F15" s="108"/>
      <c r="G15" s="11">
        <v>8620</v>
      </c>
      <c r="H15" s="22">
        <v>17</v>
      </c>
      <c r="I15" s="13">
        <v>0.05</v>
      </c>
      <c r="J15" s="14">
        <v>60</v>
      </c>
      <c r="K15" s="24">
        <v>0.02</v>
      </c>
      <c r="L15" s="46">
        <f t="shared" si="9"/>
        <v>172.4</v>
      </c>
      <c r="M15" s="46">
        <f t="shared" si="10"/>
        <v>8792.4</v>
      </c>
      <c r="N15" s="23">
        <v>0.05</v>
      </c>
      <c r="O15" s="46">
        <f t="shared" si="11"/>
        <v>439.62</v>
      </c>
      <c r="P15" s="46">
        <f t="shared" si="12"/>
        <v>9232.02</v>
      </c>
      <c r="Q15" s="24">
        <v>0.02</v>
      </c>
      <c r="R15" s="27">
        <f t="shared" si="40"/>
        <v>0.34</v>
      </c>
      <c r="S15" s="25">
        <f t="shared" si="41"/>
        <v>17.34</v>
      </c>
      <c r="T15" s="23">
        <v>0.05</v>
      </c>
      <c r="U15" s="26">
        <f t="shared" si="13"/>
        <v>0.86699999999999999</v>
      </c>
      <c r="V15" s="25">
        <f t="shared" si="14"/>
        <v>18.207000000000001</v>
      </c>
      <c r="W15" s="23">
        <v>0.01</v>
      </c>
      <c r="X15" s="25">
        <f t="shared" si="15"/>
        <v>87.923999999999992</v>
      </c>
      <c r="Y15" s="25">
        <f t="shared" si="16"/>
        <v>8880.3240000000005</v>
      </c>
      <c r="Z15" s="23">
        <v>0.05</v>
      </c>
      <c r="AA15" s="25">
        <f t="shared" si="17"/>
        <v>444.01620000000003</v>
      </c>
      <c r="AB15" s="25">
        <f t="shared" si="18"/>
        <v>9324.3402000000006</v>
      </c>
      <c r="AC15" s="23">
        <v>0.01</v>
      </c>
      <c r="AD15">
        <f t="shared" si="42"/>
        <v>0.1734</v>
      </c>
      <c r="AE15" s="25">
        <f t="shared" si="43"/>
        <v>17.513400000000001</v>
      </c>
      <c r="AF15" s="23">
        <v>0.05</v>
      </c>
      <c r="AG15" s="25">
        <f t="shared" si="19"/>
        <v>0.87567000000000006</v>
      </c>
      <c r="AH15" s="25">
        <f t="shared" si="20"/>
        <v>18.38907</v>
      </c>
      <c r="AI15" s="23">
        <v>0.02</v>
      </c>
      <c r="AJ15" s="25">
        <f t="shared" si="21"/>
        <v>175.84799999999998</v>
      </c>
      <c r="AK15" s="25">
        <f t="shared" si="22"/>
        <v>8968.2479999999996</v>
      </c>
      <c r="AL15" s="23">
        <v>0.05</v>
      </c>
      <c r="AM15" s="25">
        <f t="shared" si="23"/>
        <v>448.41239999999999</v>
      </c>
      <c r="AN15" s="25">
        <f t="shared" si="24"/>
        <v>9416.6603999999988</v>
      </c>
      <c r="AO15" s="23">
        <v>0.02</v>
      </c>
      <c r="AP15">
        <f t="shared" si="44"/>
        <v>0.3468</v>
      </c>
      <c r="AQ15" s="25">
        <f t="shared" si="45"/>
        <v>17.686799999999998</v>
      </c>
      <c r="AR15" s="23">
        <v>0.05</v>
      </c>
      <c r="AS15" s="25">
        <f t="shared" si="25"/>
        <v>0.8843399999999999</v>
      </c>
      <c r="AT15" s="25">
        <f t="shared" si="26"/>
        <v>18.57114</v>
      </c>
      <c r="AU15" s="23">
        <v>0.03</v>
      </c>
      <c r="AV15" s="25">
        <f t="shared" si="27"/>
        <v>263.77199999999999</v>
      </c>
      <c r="AW15" s="25">
        <f t="shared" si="28"/>
        <v>9056.1720000000005</v>
      </c>
      <c r="AX15" s="23">
        <v>0.05</v>
      </c>
      <c r="AY15" s="25">
        <f t="shared" si="29"/>
        <v>452.80860000000007</v>
      </c>
      <c r="AZ15" s="25">
        <f t="shared" si="30"/>
        <v>9508.9806000000008</v>
      </c>
      <c r="BA15" s="23">
        <v>0.03</v>
      </c>
      <c r="BB15">
        <f t="shared" si="46"/>
        <v>0.5202</v>
      </c>
      <c r="BC15" s="25">
        <f t="shared" si="47"/>
        <v>17.860199999999999</v>
      </c>
      <c r="BD15" s="23">
        <v>0.05</v>
      </c>
      <c r="BE15" s="25">
        <f t="shared" si="31"/>
        <v>0.89300999999999997</v>
      </c>
      <c r="BF15" s="25">
        <f t="shared" si="32"/>
        <v>18.753209999999999</v>
      </c>
      <c r="BG15" s="23">
        <v>0.04</v>
      </c>
      <c r="BH15" s="25">
        <f t="shared" si="33"/>
        <v>351.69599999999997</v>
      </c>
      <c r="BI15" s="25">
        <f t="shared" si="34"/>
        <v>9144.0959999999995</v>
      </c>
      <c r="BJ15" s="23">
        <v>0.05</v>
      </c>
      <c r="BK15" s="25">
        <f t="shared" si="35"/>
        <v>457.20479999999998</v>
      </c>
      <c r="BL15" s="25">
        <f t="shared" si="36"/>
        <v>9601.3007999999991</v>
      </c>
      <c r="BM15" s="23">
        <v>0.04</v>
      </c>
      <c r="BN15">
        <f t="shared" si="48"/>
        <v>0.69359999999999999</v>
      </c>
      <c r="BO15" s="25">
        <f t="shared" si="49"/>
        <v>18.0336</v>
      </c>
      <c r="BP15" s="23">
        <v>0.05</v>
      </c>
      <c r="BQ15" s="25">
        <f t="shared" si="38"/>
        <v>0.90168000000000004</v>
      </c>
      <c r="BR15" s="25">
        <f t="shared" si="39"/>
        <v>18.935279999999999</v>
      </c>
    </row>
    <row r="16" spans="1:70" ht="15.95" customHeight="1">
      <c r="A16" s="105"/>
      <c r="B16" s="8" t="s">
        <v>8</v>
      </c>
      <c r="C16" s="9" t="s">
        <v>31</v>
      </c>
      <c r="D16" s="10" t="s">
        <v>18</v>
      </c>
      <c r="E16" s="107" t="s">
        <v>11</v>
      </c>
      <c r="F16" s="108"/>
      <c r="G16" s="11">
        <v>8400</v>
      </c>
      <c r="H16" s="22">
        <v>35</v>
      </c>
      <c r="I16" s="13">
        <v>0.05</v>
      </c>
      <c r="J16" s="14">
        <v>100</v>
      </c>
      <c r="K16" s="24">
        <v>0.02</v>
      </c>
      <c r="L16" s="46">
        <f t="shared" si="9"/>
        <v>168</v>
      </c>
      <c r="M16" s="46">
        <f t="shared" si="10"/>
        <v>8568</v>
      </c>
      <c r="N16" s="23">
        <v>0.05</v>
      </c>
      <c r="O16" s="46">
        <f t="shared" si="11"/>
        <v>428.40000000000003</v>
      </c>
      <c r="P16" s="46">
        <f t="shared" si="12"/>
        <v>8996.4</v>
      </c>
      <c r="Q16" s="24">
        <v>0.02</v>
      </c>
      <c r="R16" s="27">
        <f t="shared" si="40"/>
        <v>0.70000000000000007</v>
      </c>
      <c r="S16" s="25">
        <f t="shared" si="41"/>
        <v>35.700000000000003</v>
      </c>
      <c r="T16" s="23">
        <v>0.05</v>
      </c>
      <c r="U16" s="26">
        <f t="shared" si="13"/>
        <v>1.7850000000000001</v>
      </c>
      <c r="V16" s="25">
        <f t="shared" si="14"/>
        <v>37.484999999999999</v>
      </c>
      <c r="W16" s="23">
        <v>0.01</v>
      </c>
      <c r="X16" s="25">
        <f t="shared" si="15"/>
        <v>85.68</v>
      </c>
      <c r="Y16" s="25">
        <f t="shared" si="16"/>
        <v>8653.68</v>
      </c>
      <c r="Z16" s="23">
        <v>0.05</v>
      </c>
      <c r="AA16" s="25">
        <f t="shared" si="17"/>
        <v>432.68400000000003</v>
      </c>
      <c r="AB16" s="25">
        <f t="shared" si="18"/>
        <v>9086.3639999999996</v>
      </c>
      <c r="AC16" s="23">
        <v>0.01</v>
      </c>
      <c r="AD16">
        <f t="shared" si="42"/>
        <v>0.35700000000000004</v>
      </c>
      <c r="AE16" s="25">
        <f t="shared" si="43"/>
        <v>36.057000000000002</v>
      </c>
      <c r="AF16" s="23">
        <v>0.05</v>
      </c>
      <c r="AG16" s="25">
        <f t="shared" si="19"/>
        <v>1.8028500000000003</v>
      </c>
      <c r="AH16" s="25">
        <f t="shared" si="20"/>
        <v>37.859850000000002</v>
      </c>
      <c r="AI16" s="23">
        <v>0.02</v>
      </c>
      <c r="AJ16" s="25">
        <f t="shared" si="21"/>
        <v>171.36</v>
      </c>
      <c r="AK16" s="25">
        <f t="shared" si="22"/>
        <v>8739.36</v>
      </c>
      <c r="AL16" s="23">
        <v>0.05</v>
      </c>
      <c r="AM16" s="25">
        <f t="shared" si="23"/>
        <v>436.96800000000007</v>
      </c>
      <c r="AN16" s="25">
        <f t="shared" si="24"/>
        <v>9176.3280000000013</v>
      </c>
      <c r="AO16" s="23">
        <v>0.02</v>
      </c>
      <c r="AP16">
        <f t="shared" si="44"/>
        <v>0.71400000000000008</v>
      </c>
      <c r="AQ16" s="25">
        <f t="shared" si="45"/>
        <v>36.414000000000001</v>
      </c>
      <c r="AR16" s="23">
        <v>0.05</v>
      </c>
      <c r="AS16" s="25">
        <f t="shared" si="25"/>
        <v>1.8207000000000002</v>
      </c>
      <c r="AT16" s="25">
        <f t="shared" si="26"/>
        <v>38.234700000000004</v>
      </c>
      <c r="AU16" s="23">
        <v>0.03</v>
      </c>
      <c r="AV16" s="25">
        <f t="shared" si="27"/>
        <v>257.03999999999996</v>
      </c>
      <c r="AW16" s="25">
        <f t="shared" si="28"/>
        <v>8825.0400000000009</v>
      </c>
      <c r="AX16" s="23">
        <v>0.05</v>
      </c>
      <c r="AY16" s="25">
        <f t="shared" si="29"/>
        <v>441.25200000000007</v>
      </c>
      <c r="AZ16" s="25">
        <f t="shared" si="30"/>
        <v>9266.2920000000013</v>
      </c>
      <c r="BA16" s="23">
        <v>0.03</v>
      </c>
      <c r="BB16">
        <f t="shared" si="46"/>
        <v>1.071</v>
      </c>
      <c r="BC16" s="25">
        <f t="shared" si="47"/>
        <v>36.771000000000001</v>
      </c>
      <c r="BD16" s="23">
        <v>0.05</v>
      </c>
      <c r="BE16" s="25">
        <f t="shared" si="31"/>
        <v>1.8385500000000001</v>
      </c>
      <c r="BF16" s="25">
        <f t="shared" si="32"/>
        <v>38.609549999999999</v>
      </c>
      <c r="BG16" s="23">
        <v>0.04</v>
      </c>
      <c r="BH16" s="25">
        <f t="shared" si="33"/>
        <v>342.72</v>
      </c>
      <c r="BI16" s="25">
        <f t="shared" si="34"/>
        <v>8910.7199999999993</v>
      </c>
      <c r="BJ16" s="23">
        <v>0.05</v>
      </c>
      <c r="BK16" s="25">
        <f t="shared" si="35"/>
        <v>445.536</v>
      </c>
      <c r="BL16" s="25">
        <f t="shared" si="36"/>
        <v>9356.2559999999994</v>
      </c>
      <c r="BM16" s="23">
        <v>0.04</v>
      </c>
      <c r="BN16">
        <f t="shared" si="48"/>
        <v>1.4280000000000002</v>
      </c>
      <c r="BO16" s="25">
        <f t="shared" si="49"/>
        <v>37.128</v>
      </c>
      <c r="BP16" s="23">
        <v>0.05</v>
      </c>
      <c r="BQ16" s="25">
        <f t="shared" si="38"/>
        <v>1.8564000000000001</v>
      </c>
      <c r="BR16" s="25">
        <f t="shared" si="39"/>
        <v>38.984400000000001</v>
      </c>
    </row>
    <row r="17" spans="1:74" ht="15.95" customHeight="1">
      <c r="A17" s="105"/>
      <c r="B17" s="8" t="s">
        <v>8</v>
      </c>
      <c r="C17" s="9" t="s">
        <v>32</v>
      </c>
      <c r="D17" s="10" t="s">
        <v>20</v>
      </c>
      <c r="E17" s="107" t="s">
        <v>33</v>
      </c>
      <c r="F17" s="108"/>
      <c r="G17" s="11">
        <v>7800</v>
      </c>
      <c r="H17" s="22">
        <v>65</v>
      </c>
      <c r="I17" s="13">
        <v>0.05</v>
      </c>
      <c r="J17" s="14">
        <v>150</v>
      </c>
      <c r="K17" s="24">
        <v>0.02</v>
      </c>
      <c r="L17" s="46">
        <f t="shared" si="9"/>
        <v>156</v>
      </c>
      <c r="M17" s="46">
        <f t="shared" si="10"/>
        <v>7956</v>
      </c>
      <c r="N17" s="23">
        <v>0.05</v>
      </c>
      <c r="O17" s="46">
        <f t="shared" si="11"/>
        <v>397.8</v>
      </c>
      <c r="P17" s="46">
        <f t="shared" si="12"/>
        <v>8353.7999999999993</v>
      </c>
      <c r="Q17" s="24">
        <v>0.02</v>
      </c>
      <c r="R17" s="27">
        <f t="shared" si="40"/>
        <v>1.3</v>
      </c>
      <c r="S17" s="25">
        <f t="shared" si="41"/>
        <v>66.3</v>
      </c>
      <c r="T17" s="23">
        <v>0.05</v>
      </c>
      <c r="U17" s="26">
        <f t="shared" si="13"/>
        <v>3.3149999999999999</v>
      </c>
      <c r="V17" s="25">
        <f t="shared" si="14"/>
        <v>69.614999999999995</v>
      </c>
      <c r="W17" s="23">
        <v>0.01</v>
      </c>
      <c r="X17" s="25">
        <f t="shared" si="15"/>
        <v>79.56</v>
      </c>
      <c r="Y17" s="25">
        <f t="shared" si="16"/>
        <v>8035.56</v>
      </c>
      <c r="Z17" s="23">
        <v>0.05</v>
      </c>
      <c r="AA17" s="25">
        <f t="shared" si="17"/>
        <v>401.77800000000002</v>
      </c>
      <c r="AB17" s="25">
        <f t="shared" si="18"/>
        <v>8437.3379999999997</v>
      </c>
      <c r="AC17" s="23">
        <v>0.01</v>
      </c>
      <c r="AD17">
        <f t="shared" si="42"/>
        <v>0.66300000000000003</v>
      </c>
      <c r="AE17" s="25">
        <f t="shared" si="43"/>
        <v>66.962999999999994</v>
      </c>
      <c r="AF17" s="23">
        <v>0.05</v>
      </c>
      <c r="AG17" s="25">
        <f t="shared" si="19"/>
        <v>3.34815</v>
      </c>
      <c r="AH17" s="25">
        <f t="shared" si="20"/>
        <v>70.311149999999998</v>
      </c>
      <c r="AI17" s="23">
        <v>0.02</v>
      </c>
      <c r="AJ17" s="25">
        <f t="shared" si="21"/>
        <v>159.12</v>
      </c>
      <c r="AK17" s="25">
        <f t="shared" si="22"/>
        <v>8115.12</v>
      </c>
      <c r="AL17" s="23">
        <v>0.05</v>
      </c>
      <c r="AM17" s="25">
        <f t="shared" si="23"/>
        <v>405.75600000000003</v>
      </c>
      <c r="AN17" s="25">
        <f t="shared" si="24"/>
        <v>8520.8760000000002</v>
      </c>
      <c r="AO17" s="23">
        <v>0.02</v>
      </c>
      <c r="AP17">
        <f t="shared" si="44"/>
        <v>1.3260000000000001</v>
      </c>
      <c r="AQ17" s="25">
        <f t="shared" si="45"/>
        <v>67.625999999999991</v>
      </c>
      <c r="AR17" s="23">
        <v>0.05</v>
      </c>
      <c r="AS17" s="25">
        <f t="shared" si="25"/>
        <v>3.3812999999999995</v>
      </c>
      <c r="AT17" s="25">
        <f t="shared" si="26"/>
        <v>71.007299999999987</v>
      </c>
      <c r="AU17" s="23">
        <v>0.03</v>
      </c>
      <c r="AV17" s="25">
        <f t="shared" si="27"/>
        <v>238.67999999999998</v>
      </c>
      <c r="AW17" s="25">
        <f t="shared" si="28"/>
        <v>8194.68</v>
      </c>
      <c r="AX17" s="23">
        <v>0.05</v>
      </c>
      <c r="AY17" s="25">
        <f t="shared" si="29"/>
        <v>409.73400000000004</v>
      </c>
      <c r="AZ17" s="25">
        <f t="shared" si="30"/>
        <v>8604.4140000000007</v>
      </c>
      <c r="BA17" s="23">
        <v>0.03</v>
      </c>
      <c r="BB17">
        <f t="shared" si="46"/>
        <v>1.9889999999999999</v>
      </c>
      <c r="BC17" s="25">
        <f t="shared" si="47"/>
        <v>68.289000000000001</v>
      </c>
      <c r="BD17" s="23">
        <v>0.05</v>
      </c>
      <c r="BE17" s="25">
        <f t="shared" si="31"/>
        <v>3.4144500000000004</v>
      </c>
      <c r="BF17" s="25">
        <f t="shared" si="32"/>
        <v>71.703450000000004</v>
      </c>
      <c r="BG17" s="23">
        <v>0.04</v>
      </c>
      <c r="BH17" s="25">
        <f t="shared" si="33"/>
        <v>318.24</v>
      </c>
      <c r="BI17" s="25">
        <f t="shared" si="34"/>
        <v>8274.24</v>
      </c>
      <c r="BJ17" s="23">
        <v>0.05</v>
      </c>
      <c r="BK17" s="25">
        <f t="shared" si="35"/>
        <v>413.71199999999999</v>
      </c>
      <c r="BL17" s="25">
        <f t="shared" si="36"/>
        <v>8687.9519999999993</v>
      </c>
      <c r="BM17" s="23">
        <v>0.04</v>
      </c>
      <c r="BN17">
        <f t="shared" si="48"/>
        <v>2.6520000000000001</v>
      </c>
      <c r="BO17" s="25">
        <f t="shared" si="49"/>
        <v>68.951999999999998</v>
      </c>
      <c r="BP17" s="23">
        <v>0.05</v>
      </c>
      <c r="BQ17" s="25">
        <f t="shared" si="38"/>
        <v>3.4476</v>
      </c>
      <c r="BR17" s="25">
        <f t="shared" si="39"/>
        <v>72.399599999999992</v>
      </c>
    </row>
    <row r="18" spans="1:74" ht="15.95" customHeight="1">
      <c r="A18" s="105"/>
      <c r="B18" s="8" t="s">
        <v>8</v>
      </c>
      <c r="C18" s="9" t="s">
        <v>34</v>
      </c>
      <c r="D18" s="10" t="s">
        <v>20</v>
      </c>
      <c r="E18" s="107" t="s">
        <v>23</v>
      </c>
      <c r="F18" s="108"/>
      <c r="G18" s="11">
        <v>7200</v>
      </c>
      <c r="H18" s="22">
        <v>90</v>
      </c>
      <c r="I18" s="13">
        <v>0.05</v>
      </c>
      <c r="J18" s="14">
        <v>300</v>
      </c>
      <c r="K18" s="24">
        <v>0.02</v>
      </c>
      <c r="L18" s="46">
        <f t="shared" si="9"/>
        <v>144</v>
      </c>
      <c r="M18" s="46">
        <f t="shared" si="10"/>
        <v>7344</v>
      </c>
      <c r="N18" s="23">
        <v>0.05</v>
      </c>
      <c r="O18" s="46">
        <f t="shared" si="11"/>
        <v>367.20000000000005</v>
      </c>
      <c r="P18" s="46">
        <f t="shared" si="12"/>
        <v>7711.2</v>
      </c>
      <c r="Q18" s="24">
        <v>0.02</v>
      </c>
      <c r="R18" s="27">
        <f t="shared" si="40"/>
        <v>1.8</v>
      </c>
      <c r="S18" s="25">
        <f t="shared" si="41"/>
        <v>91.8</v>
      </c>
      <c r="T18" s="23">
        <v>0.05</v>
      </c>
      <c r="U18" s="26">
        <f t="shared" si="13"/>
        <v>4.59</v>
      </c>
      <c r="V18" s="25">
        <f t="shared" si="14"/>
        <v>96.39</v>
      </c>
      <c r="W18" s="23">
        <v>0.01</v>
      </c>
      <c r="X18" s="25">
        <f t="shared" si="15"/>
        <v>73.44</v>
      </c>
      <c r="Y18" s="25">
        <f t="shared" si="16"/>
        <v>7417.44</v>
      </c>
      <c r="Z18" s="23">
        <v>0.05</v>
      </c>
      <c r="AA18" s="25">
        <f t="shared" si="17"/>
        <v>370.87200000000001</v>
      </c>
      <c r="AB18" s="25">
        <f t="shared" si="18"/>
        <v>7788.3119999999999</v>
      </c>
      <c r="AC18" s="23">
        <v>0.01</v>
      </c>
      <c r="AD18">
        <f t="shared" si="42"/>
        <v>0.91800000000000004</v>
      </c>
      <c r="AE18" s="25">
        <f t="shared" si="43"/>
        <v>92.718000000000004</v>
      </c>
      <c r="AF18" s="23">
        <v>0.05</v>
      </c>
      <c r="AG18" s="25">
        <f t="shared" si="19"/>
        <v>4.6359000000000004</v>
      </c>
      <c r="AH18" s="25">
        <f t="shared" si="20"/>
        <v>97.35390000000001</v>
      </c>
      <c r="AI18" s="23">
        <v>0.02</v>
      </c>
      <c r="AJ18" s="25">
        <f t="shared" si="21"/>
        <v>146.88</v>
      </c>
      <c r="AK18" s="25">
        <f t="shared" si="22"/>
        <v>7490.88</v>
      </c>
      <c r="AL18" s="23">
        <v>0.05</v>
      </c>
      <c r="AM18" s="25">
        <f t="shared" si="23"/>
        <v>374.54400000000004</v>
      </c>
      <c r="AN18" s="25">
        <f t="shared" si="24"/>
        <v>7865.424</v>
      </c>
      <c r="AO18" s="23">
        <v>0.02</v>
      </c>
      <c r="AP18">
        <f t="shared" si="44"/>
        <v>1.8360000000000001</v>
      </c>
      <c r="AQ18" s="25">
        <f t="shared" si="45"/>
        <v>93.635999999999996</v>
      </c>
      <c r="AR18" s="23">
        <v>0.05</v>
      </c>
      <c r="AS18" s="25">
        <f t="shared" si="25"/>
        <v>4.6818</v>
      </c>
      <c r="AT18" s="25">
        <f t="shared" si="26"/>
        <v>98.317799999999991</v>
      </c>
      <c r="AU18" s="23">
        <v>0.03</v>
      </c>
      <c r="AV18" s="25">
        <f t="shared" si="27"/>
        <v>220.32</v>
      </c>
      <c r="AW18" s="25">
        <f t="shared" si="28"/>
        <v>7564.32</v>
      </c>
      <c r="AX18" s="23">
        <v>0.05</v>
      </c>
      <c r="AY18" s="25">
        <f t="shared" si="29"/>
        <v>378.21600000000001</v>
      </c>
      <c r="AZ18" s="25">
        <f t="shared" si="30"/>
        <v>7942.5360000000001</v>
      </c>
      <c r="BA18" s="23">
        <v>0.03</v>
      </c>
      <c r="BB18">
        <f t="shared" si="46"/>
        <v>2.754</v>
      </c>
      <c r="BC18" s="25">
        <f t="shared" si="47"/>
        <v>94.554000000000002</v>
      </c>
      <c r="BD18" s="23">
        <v>0.05</v>
      </c>
      <c r="BE18" s="25">
        <f t="shared" si="31"/>
        <v>4.7277000000000005</v>
      </c>
      <c r="BF18" s="25">
        <f t="shared" si="32"/>
        <v>99.281700000000001</v>
      </c>
      <c r="BG18" s="23">
        <v>0.04</v>
      </c>
      <c r="BH18" s="25">
        <f t="shared" si="33"/>
        <v>293.76</v>
      </c>
      <c r="BI18" s="25">
        <f t="shared" si="34"/>
        <v>7637.76</v>
      </c>
      <c r="BJ18" s="23">
        <v>0.05</v>
      </c>
      <c r="BK18" s="25">
        <f t="shared" si="35"/>
        <v>381.88800000000003</v>
      </c>
      <c r="BL18" s="25">
        <f t="shared" si="36"/>
        <v>8019.6480000000001</v>
      </c>
      <c r="BM18" s="23">
        <v>0.04</v>
      </c>
      <c r="BN18">
        <f t="shared" si="48"/>
        <v>3.6720000000000002</v>
      </c>
      <c r="BO18" s="25">
        <f t="shared" si="49"/>
        <v>95.471999999999994</v>
      </c>
      <c r="BP18" s="23">
        <v>0.05</v>
      </c>
      <c r="BQ18" s="25">
        <f t="shared" si="38"/>
        <v>4.7736000000000001</v>
      </c>
      <c r="BR18" s="25">
        <f t="shared" si="39"/>
        <v>100.2456</v>
      </c>
    </row>
    <row r="19" spans="1:74" ht="15.95" customHeight="1">
      <c r="A19" s="105"/>
      <c r="B19" s="8" t="s">
        <v>8</v>
      </c>
      <c r="C19" s="9" t="s">
        <v>35</v>
      </c>
      <c r="D19" s="10" t="s">
        <v>20</v>
      </c>
      <c r="E19" s="107" t="s">
        <v>36</v>
      </c>
      <c r="F19" s="108"/>
      <c r="G19" s="11">
        <v>7700</v>
      </c>
      <c r="H19" s="22">
        <v>110</v>
      </c>
      <c r="I19" s="13">
        <v>0.05</v>
      </c>
      <c r="J19" s="14">
        <v>380</v>
      </c>
      <c r="K19" s="24">
        <v>0.02</v>
      </c>
      <c r="L19" s="46">
        <f t="shared" si="9"/>
        <v>154</v>
      </c>
      <c r="M19" s="46">
        <f t="shared" si="10"/>
        <v>7854</v>
      </c>
      <c r="N19" s="23">
        <v>0.05</v>
      </c>
      <c r="O19" s="46">
        <f t="shared" si="11"/>
        <v>392.70000000000005</v>
      </c>
      <c r="P19" s="46">
        <f t="shared" si="12"/>
        <v>8246.7000000000007</v>
      </c>
      <c r="Q19" s="24">
        <v>0.02</v>
      </c>
      <c r="R19" s="27">
        <f t="shared" si="40"/>
        <v>2.2000000000000002</v>
      </c>
      <c r="S19" s="25">
        <f t="shared" si="41"/>
        <v>112.2</v>
      </c>
      <c r="T19" s="23">
        <v>0.05</v>
      </c>
      <c r="U19" s="26">
        <f t="shared" si="13"/>
        <v>5.61</v>
      </c>
      <c r="V19" s="25">
        <f t="shared" si="14"/>
        <v>117.81</v>
      </c>
      <c r="W19" s="23">
        <v>0.01</v>
      </c>
      <c r="X19" s="25">
        <f t="shared" si="15"/>
        <v>78.540000000000006</v>
      </c>
      <c r="Y19" s="25">
        <f t="shared" si="16"/>
        <v>7932.54</v>
      </c>
      <c r="Z19" s="23">
        <v>0.05</v>
      </c>
      <c r="AA19" s="25">
        <f t="shared" si="17"/>
        <v>396.62700000000001</v>
      </c>
      <c r="AB19" s="25">
        <f t="shared" si="18"/>
        <v>8329.1669999999995</v>
      </c>
      <c r="AC19" s="23">
        <v>0.01</v>
      </c>
      <c r="AD19">
        <f t="shared" si="42"/>
        <v>1.1220000000000001</v>
      </c>
      <c r="AE19" s="25">
        <f t="shared" si="43"/>
        <v>113.322</v>
      </c>
      <c r="AF19" s="23">
        <v>0.05</v>
      </c>
      <c r="AG19" s="25">
        <f t="shared" si="19"/>
        <v>5.6661000000000001</v>
      </c>
      <c r="AH19" s="25">
        <f t="shared" si="20"/>
        <v>118.9881</v>
      </c>
      <c r="AI19" s="23">
        <v>0.02</v>
      </c>
      <c r="AJ19" s="25">
        <f t="shared" si="21"/>
        <v>157.08000000000001</v>
      </c>
      <c r="AK19" s="25">
        <f t="shared" si="22"/>
        <v>8011.08</v>
      </c>
      <c r="AL19" s="23">
        <v>0.05</v>
      </c>
      <c r="AM19" s="25">
        <f t="shared" si="23"/>
        <v>400.55400000000003</v>
      </c>
      <c r="AN19" s="25">
        <f t="shared" si="24"/>
        <v>8411.634</v>
      </c>
      <c r="AO19" s="23">
        <v>0.02</v>
      </c>
      <c r="AP19">
        <f t="shared" si="44"/>
        <v>2.2440000000000002</v>
      </c>
      <c r="AQ19" s="25">
        <f t="shared" si="45"/>
        <v>114.444</v>
      </c>
      <c r="AR19" s="23">
        <v>0.05</v>
      </c>
      <c r="AS19" s="25">
        <f t="shared" si="25"/>
        <v>5.7222000000000008</v>
      </c>
      <c r="AT19" s="25">
        <f t="shared" si="26"/>
        <v>120.1662</v>
      </c>
      <c r="AU19" s="23">
        <v>0.03</v>
      </c>
      <c r="AV19" s="25">
        <f t="shared" si="27"/>
        <v>235.62</v>
      </c>
      <c r="AW19" s="25">
        <f t="shared" si="28"/>
        <v>8089.62</v>
      </c>
      <c r="AX19" s="23">
        <v>0.05</v>
      </c>
      <c r="AY19" s="25">
        <f t="shared" si="29"/>
        <v>404.48099999999999</v>
      </c>
      <c r="AZ19" s="25">
        <f t="shared" si="30"/>
        <v>8494.1010000000006</v>
      </c>
      <c r="BA19" s="23">
        <v>0.03</v>
      </c>
      <c r="BB19">
        <f t="shared" si="46"/>
        <v>3.3660000000000001</v>
      </c>
      <c r="BC19" s="25">
        <f t="shared" si="47"/>
        <v>115.566</v>
      </c>
      <c r="BD19" s="23">
        <v>0.05</v>
      </c>
      <c r="BE19" s="25">
        <f t="shared" si="31"/>
        <v>5.7783000000000007</v>
      </c>
      <c r="BF19" s="25">
        <f t="shared" si="32"/>
        <v>121.3443</v>
      </c>
      <c r="BG19" s="23">
        <v>0.04</v>
      </c>
      <c r="BH19" s="25">
        <f t="shared" si="33"/>
        <v>314.16000000000003</v>
      </c>
      <c r="BI19" s="25">
        <f t="shared" si="34"/>
        <v>8168.16</v>
      </c>
      <c r="BJ19" s="23">
        <v>0.05</v>
      </c>
      <c r="BK19" s="25">
        <f t="shared" si="35"/>
        <v>408.40800000000002</v>
      </c>
      <c r="BL19" s="25">
        <f t="shared" si="36"/>
        <v>8576.5679999999993</v>
      </c>
      <c r="BM19" s="23">
        <v>0.04</v>
      </c>
      <c r="BN19">
        <f t="shared" si="48"/>
        <v>4.4880000000000004</v>
      </c>
      <c r="BO19" s="25">
        <f t="shared" si="49"/>
        <v>116.688</v>
      </c>
      <c r="BP19" s="23">
        <v>0.05</v>
      </c>
      <c r="BQ19" s="25">
        <f t="shared" si="38"/>
        <v>5.8344000000000005</v>
      </c>
      <c r="BR19" s="25">
        <f t="shared" si="39"/>
        <v>122.5224</v>
      </c>
    </row>
    <row r="20" spans="1:74" ht="15.95" customHeight="1">
      <c r="A20" s="106"/>
      <c r="B20" s="8" t="s">
        <v>8</v>
      </c>
      <c r="C20" s="9" t="s">
        <v>37</v>
      </c>
      <c r="D20" s="10" t="s">
        <v>20</v>
      </c>
      <c r="E20" s="107" t="s">
        <v>25</v>
      </c>
      <c r="F20" s="108"/>
      <c r="G20" s="11">
        <v>7800</v>
      </c>
      <c r="H20" s="22">
        <v>130</v>
      </c>
      <c r="I20" s="13">
        <v>0.05</v>
      </c>
      <c r="J20" s="14">
        <v>500</v>
      </c>
      <c r="K20" s="24">
        <v>0.02</v>
      </c>
      <c r="L20" s="46">
        <f t="shared" si="9"/>
        <v>156</v>
      </c>
      <c r="M20" s="46">
        <f t="shared" si="10"/>
        <v>7956</v>
      </c>
      <c r="N20" s="23">
        <v>0.05</v>
      </c>
      <c r="O20" s="46">
        <f t="shared" si="11"/>
        <v>397.8</v>
      </c>
      <c r="P20" s="46">
        <f t="shared" si="12"/>
        <v>8353.7999999999993</v>
      </c>
      <c r="Q20" s="24">
        <v>0.02</v>
      </c>
      <c r="R20" s="27">
        <f t="shared" si="40"/>
        <v>2.6</v>
      </c>
      <c r="S20" s="25">
        <f t="shared" si="41"/>
        <v>132.6</v>
      </c>
      <c r="T20" s="23">
        <v>0.05</v>
      </c>
      <c r="U20" s="26">
        <f t="shared" si="13"/>
        <v>6.63</v>
      </c>
      <c r="V20" s="25">
        <f t="shared" si="14"/>
        <v>139.22999999999999</v>
      </c>
      <c r="W20" s="23">
        <v>0.01</v>
      </c>
      <c r="X20" s="25">
        <f t="shared" si="15"/>
        <v>79.56</v>
      </c>
      <c r="Y20" s="25">
        <f t="shared" si="16"/>
        <v>8035.56</v>
      </c>
      <c r="Z20" s="23">
        <v>0.05</v>
      </c>
      <c r="AA20" s="25">
        <f t="shared" si="17"/>
        <v>401.77800000000002</v>
      </c>
      <c r="AB20" s="25">
        <f t="shared" si="18"/>
        <v>8437.3379999999997</v>
      </c>
      <c r="AC20" s="23">
        <v>0.01</v>
      </c>
      <c r="AD20">
        <f t="shared" si="42"/>
        <v>1.3260000000000001</v>
      </c>
      <c r="AE20" s="25">
        <f t="shared" si="43"/>
        <v>133.92599999999999</v>
      </c>
      <c r="AF20" s="23">
        <v>0.05</v>
      </c>
      <c r="AG20" s="25">
        <f t="shared" si="19"/>
        <v>6.6962999999999999</v>
      </c>
      <c r="AH20" s="25">
        <f t="shared" si="20"/>
        <v>140.6223</v>
      </c>
      <c r="AI20" s="23">
        <v>0.02</v>
      </c>
      <c r="AJ20" s="25">
        <f t="shared" si="21"/>
        <v>159.12</v>
      </c>
      <c r="AK20" s="25">
        <f t="shared" si="22"/>
        <v>8115.12</v>
      </c>
      <c r="AL20" s="23">
        <v>0.05</v>
      </c>
      <c r="AM20" s="25">
        <f t="shared" si="23"/>
        <v>405.75600000000003</v>
      </c>
      <c r="AN20" s="25">
        <f t="shared" si="24"/>
        <v>8520.8760000000002</v>
      </c>
      <c r="AO20" s="23">
        <v>0.02</v>
      </c>
      <c r="AP20">
        <f t="shared" si="44"/>
        <v>2.6520000000000001</v>
      </c>
      <c r="AQ20" s="25">
        <f t="shared" si="45"/>
        <v>135.25199999999998</v>
      </c>
      <c r="AR20" s="23">
        <v>0.05</v>
      </c>
      <c r="AS20" s="25">
        <f t="shared" si="25"/>
        <v>6.7625999999999991</v>
      </c>
      <c r="AT20" s="25">
        <f t="shared" si="26"/>
        <v>142.01459999999997</v>
      </c>
      <c r="AU20" s="23">
        <v>0.03</v>
      </c>
      <c r="AV20" s="25">
        <f t="shared" si="27"/>
        <v>238.67999999999998</v>
      </c>
      <c r="AW20" s="25">
        <f t="shared" si="28"/>
        <v>8194.68</v>
      </c>
      <c r="AX20" s="23">
        <v>0.05</v>
      </c>
      <c r="AY20" s="25">
        <f t="shared" si="29"/>
        <v>409.73400000000004</v>
      </c>
      <c r="AZ20" s="25">
        <f t="shared" si="30"/>
        <v>8604.4140000000007</v>
      </c>
      <c r="BA20" s="23">
        <v>0.03</v>
      </c>
      <c r="BB20">
        <f t="shared" si="46"/>
        <v>3.9779999999999998</v>
      </c>
      <c r="BC20" s="25">
        <f t="shared" si="47"/>
        <v>136.578</v>
      </c>
      <c r="BD20" s="23">
        <v>0.05</v>
      </c>
      <c r="BE20" s="25">
        <f t="shared" si="31"/>
        <v>6.8289000000000009</v>
      </c>
      <c r="BF20" s="25">
        <f t="shared" si="32"/>
        <v>143.40690000000001</v>
      </c>
      <c r="BG20" s="23">
        <v>0.04</v>
      </c>
      <c r="BH20" s="25">
        <f t="shared" si="33"/>
        <v>318.24</v>
      </c>
      <c r="BI20" s="25">
        <f t="shared" si="34"/>
        <v>8274.24</v>
      </c>
      <c r="BJ20" s="23">
        <v>0.05</v>
      </c>
      <c r="BK20" s="25">
        <f t="shared" si="35"/>
        <v>413.71199999999999</v>
      </c>
      <c r="BL20" s="25">
        <f t="shared" si="36"/>
        <v>8687.9519999999993</v>
      </c>
      <c r="BM20" s="23">
        <v>0.04</v>
      </c>
      <c r="BN20">
        <f t="shared" si="48"/>
        <v>5.3040000000000003</v>
      </c>
      <c r="BO20" s="25">
        <f t="shared" si="49"/>
        <v>137.904</v>
      </c>
      <c r="BP20" s="23">
        <v>0.05</v>
      </c>
      <c r="BQ20" s="25">
        <f t="shared" si="38"/>
        <v>6.8952</v>
      </c>
      <c r="BR20" s="25">
        <f t="shared" si="39"/>
        <v>144.79919999999998</v>
      </c>
      <c r="BS20">
        <v>0</v>
      </c>
      <c r="BT20">
        <v>0</v>
      </c>
      <c r="BU20">
        <v>0</v>
      </c>
      <c r="BV20">
        <v>0</v>
      </c>
    </row>
  </sheetData>
  <mergeCells count="24">
    <mergeCell ref="A1:J1"/>
    <mergeCell ref="E2:F2"/>
    <mergeCell ref="A3:A11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C12:E12"/>
    <mergeCell ref="F12:G12"/>
    <mergeCell ref="C13:E13"/>
    <mergeCell ref="F13:G13"/>
    <mergeCell ref="A14:A20"/>
    <mergeCell ref="E14:F14"/>
    <mergeCell ref="E15:F15"/>
    <mergeCell ref="E16:F16"/>
    <mergeCell ref="E17:F17"/>
    <mergeCell ref="E18:F18"/>
    <mergeCell ref="E19:F19"/>
    <mergeCell ref="E20:F20"/>
  </mergeCells>
  <pageMargins left="0.7" right="0.7" top="0.75" bottom="0.75" header="0.3" footer="0.3"/>
  <pageSetup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"/>
  <sheetViews>
    <sheetView zoomScaleNormal="100" workbookViewId="0">
      <selection activeCell="E28" sqref="E28"/>
    </sheetView>
  </sheetViews>
  <sheetFormatPr defaultRowHeight="11.25"/>
  <cols>
    <col min="1" max="1" width="8.33203125" style="63" bestFit="1" customWidth="1"/>
    <col min="2" max="2" width="17.1640625" style="63" customWidth="1"/>
    <col min="3" max="3" width="12.5" style="63" customWidth="1"/>
    <col min="4" max="4" width="15.5" style="63" customWidth="1"/>
    <col min="5" max="5" width="9.33203125" style="63"/>
    <col min="6" max="6" width="13.33203125" style="63" customWidth="1"/>
    <col min="7" max="7" width="17.33203125" style="63" customWidth="1"/>
    <col min="8" max="8" width="11.6640625" style="90" customWidth="1"/>
    <col min="9" max="9" width="15.33203125" style="80" customWidth="1"/>
    <col min="10" max="10" width="14.1640625" style="80" customWidth="1"/>
    <col min="11" max="13" width="9.33203125" style="63"/>
    <col min="14" max="16" width="9.33203125" style="80"/>
    <col min="17" max="17" width="11.33203125" style="80" bestFit="1" customWidth="1"/>
    <col min="18" max="16384" width="9.33203125" style="63"/>
  </cols>
  <sheetData>
    <row r="1" spans="1:18">
      <c r="A1" s="127" t="s">
        <v>55</v>
      </c>
      <c r="B1" s="128"/>
      <c r="C1" s="128"/>
      <c r="D1" s="128"/>
      <c r="E1" s="128"/>
      <c r="F1" s="128"/>
      <c r="G1" s="128"/>
      <c r="H1" s="128"/>
      <c r="I1" s="128"/>
      <c r="J1" s="129"/>
    </row>
    <row r="2" spans="1:18">
      <c r="A2" s="64"/>
      <c r="B2" s="64"/>
      <c r="C2" s="64"/>
      <c r="D2" s="64"/>
      <c r="E2" s="130"/>
      <c r="F2" s="131"/>
      <c r="G2" s="65"/>
      <c r="H2" s="85" t="s">
        <v>91</v>
      </c>
      <c r="I2" s="76" t="s">
        <v>56</v>
      </c>
      <c r="J2" s="76" t="s">
        <v>57</v>
      </c>
      <c r="N2" s="92" t="s">
        <v>93</v>
      </c>
      <c r="O2" s="98">
        <v>0.05</v>
      </c>
      <c r="P2" s="98" t="s">
        <v>49</v>
      </c>
      <c r="Q2" s="91" t="s">
        <v>52</v>
      </c>
      <c r="R2" s="93" t="s">
        <v>92</v>
      </c>
    </row>
    <row r="3" spans="1:18" ht="12.75">
      <c r="A3" s="132" t="s">
        <v>58</v>
      </c>
      <c r="B3" s="66" t="s">
        <v>59</v>
      </c>
      <c r="C3" s="67" t="s">
        <v>60</v>
      </c>
      <c r="D3" s="68" t="s">
        <v>61</v>
      </c>
      <c r="E3" s="125" t="s">
        <v>62</v>
      </c>
      <c r="F3" s="135"/>
      <c r="G3" s="69">
        <v>6619.3919999999998</v>
      </c>
      <c r="H3" s="86">
        <v>6.8952</v>
      </c>
      <c r="I3" s="81">
        <v>0.05</v>
      </c>
      <c r="J3" s="77">
        <v>30</v>
      </c>
      <c r="L3" s="99">
        <v>6.5</v>
      </c>
      <c r="N3" s="80">
        <v>9</v>
      </c>
      <c r="O3" s="97">
        <v>0.05</v>
      </c>
      <c r="R3" s="94">
        <v>30</v>
      </c>
    </row>
    <row r="4" spans="1:18" ht="12.75">
      <c r="A4" s="133"/>
      <c r="B4" s="66" t="s">
        <v>59</v>
      </c>
      <c r="C4" s="67" t="s">
        <v>63</v>
      </c>
      <c r="D4" s="68" t="s">
        <v>64</v>
      </c>
      <c r="E4" s="125" t="s">
        <v>62</v>
      </c>
      <c r="F4" s="135"/>
      <c r="G4" s="69">
        <v>7637.76</v>
      </c>
      <c r="H4" s="86">
        <v>15.912000000000001</v>
      </c>
      <c r="I4" s="81">
        <v>0.05</v>
      </c>
      <c r="J4" s="77">
        <v>45</v>
      </c>
      <c r="L4" s="75">
        <v>15</v>
      </c>
      <c r="N4" s="80">
        <v>20</v>
      </c>
      <c r="O4" s="97">
        <v>0.05</v>
      </c>
      <c r="R4" s="94">
        <v>45</v>
      </c>
    </row>
    <row r="5" spans="1:18" ht="12.75">
      <c r="A5" s="133"/>
      <c r="B5" s="66" t="s">
        <v>59</v>
      </c>
      <c r="C5" s="67" t="s">
        <v>65</v>
      </c>
      <c r="D5" s="68" t="s">
        <v>66</v>
      </c>
      <c r="E5" s="125" t="s">
        <v>62</v>
      </c>
      <c r="F5" s="135"/>
      <c r="G5" s="69">
        <v>7637.76</v>
      </c>
      <c r="H5" s="86">
        <v>21.215999999999998</v>
      </c>
      <c r="I5" s="81">
        <v>0.05</v>
      </c>
      <c r="J5" s="77">
        <v>60</v>
      </c>
      <c r="L5" s="75">
        <v>20</v>
      </c>
      <c r="N5" s="80">
        <v>30</v>
      </c>
      <c r="O5" s="97">
        <v>0.05</v>
      </c>
      <c r="R5" s="94">
        <v>60</v>
      </c>
    </row>
    <row r="6" spans="1:18" ht="12.75">
      <c r="A6" s="133"/>
      <c r="B6" s="66" t="s">
        <v>59</v>
      </c>
      <c r="C6" s="67" t="s">
        <v>67</v>
      </c>
      <c r="D6" s="68" t="s">
        <v>66</v>
      </c>
      <c r="E6" s="125" t="s">
        <v>62</v>
      </c>
      <c r="F6" s="135"/>
      <c r="G6" s="69">
        <v>9547.2000000000007</v>
      </c>
      <c r="H6" s="86">
        <v>26.52</v>
      </c>
      <c r="I6" s="81">
        <v>0.05</v>
      </c>
      <c r="J6" s="77">
        <v>80</v>
      </c>
      <c r="L6" s="75">
        <v>25</v>
      </c>
      <c r="N6" s="80">
        <v>40</v>
      </c>
      <c r="O6" s="97">
        <v>0.05</v>
      </c>
      <c r="R6" s="94">
        <v>80</v>
      </c>
    </row>
    <row r="7" spans="1:18" ht="12.75">
      <c r="A7" s="133"/>
      <c r="B7" s="66" t="s">
        <v>59</v>
      </c>
      <c r="C7" s="67" t="s">
        <v>68</v>
      </c>
      <c r="D7" s="68" t="s">
        <v>69</v>
      </c>
      <c r="E7" s="125" t="s">
        <v>62</v>
      </c>
      <c r="F7" s="135"/>
      <c r="G7" s="69">
        <v>7637.76</v>
      </c>
      <c r="H7" s="86">
        <v>31.824000000000002</v>
      </c>
      <c r="I7" s="81">
        <v>0.05</v>
      </c>
      <c r="J7" s="77">
        <v>110</v>
      </c>
      <c r="L7" s="75">
        <v>30</v>
      </c>
      <c r="N7" s="80">
        <v>50</v>
      </c>
      <c r="O7" s="97">
        <v>0.05</v>
      </c>
      <c r="R7" s="94">
        <v>110</v>
      </c>
    </row>
    <row r="8" spans="1:18" ht="12.75">
      <c r="A8" s="133"/>
      <c r="B8" s="66" t="s">
        <v>59</v>
      </c>
      <c r="C8" s="67" t="s">
        <v>70</v>
      </c>
      <c r="D8" s="68" t="s">
        <v>71</v>
      </c>
      <c r="E8" s="125" t="s">
        <v>72</v>
      </c>
      <c r="F8" s="135"/>
      <c r="G8" s="69">
        <v>5304</v>
      </c>
      <c r="H8" s="86">
        <v>53.04</v>
      </c>
      <c r="I8" s="81">
        <v>0.05</v>
      </c>
      <c r="J8" s="77">
        <v>180</v>
      </c>
      <c r="L8" s="75">
        <v>50</v>
      </c>
      <c r="N8" s="80">
        <v>70</v>
      </c>
      <c r="O8" s="97">
        <v>0.05</v>
      </c>
      <c r="R8" s="94">
        <v>180</v>
      </c>
    </row>
    <row r="9" spans="1:18" ht="12.75">
      <c r="A9" s="133"/>
      <c r="B9" s="66" t="s">
        <v>59</v>
      </c>
      <c r="C9" s="67" t="s">
        <v>73</v>
      </c>
      <c r="D9" s="68" t="s">
        <v>71</v>
      </c>
      <c r="E9" s="125" t="s">
        <v>74</v>
      </c>
      <c r="F9" s="135"/>
      <c r="G9" s="69">
        <v>5091.84</v>
      </c>
      <c r="H9" s="86">
        <v>63.648000000000003</v>
      </c>
      <c r="I9" s="81">
        <v>0.05</v>
      </c>
      <c r="J9" s="77">
        <v>220</v>
      </c>
      <c r="L9" s="75">
        <v>60</v>
      </c>
      <c r="N9" s="80">
        <v>80</v>
      </c>
      <c r="O9" s="97">
        <v>0.05</v>
      </c>
      <c r="R9" s="94">
        <v>220</v>
      </c>
    </row>
    <row r="10" spans="1:18" ht="12.75">
      <c r="A10" s="133"/>
      <c r="B10" s="66" t="s">
        <v>59</v>
      </c>
      <c r="C10" s="67" t="s">
        <v>75</v>
      </c>
      <c r="D10" s="68" t="s">
        <v>71</v>
      </c>
      <c r="E10" s="125" t="s">
        <v>76</v>
      </c>
      <c r="F10" s="135"/>
      <c r="G10" s="69">
        <v>7001.28</v>
      </c>
      <c r="H10" s="86">
        <v>106.08</v>
      </c>
      <c r="I10" s="81">
        <v>0.05</v>
      </c>
      <c r="J10" s="77">
        <v>285</v>
      </c>
      <c r="L10" s="75">
        <v>100</v>
      </c>
      <c r="N10" s="80">
        <v>130</v>
      </c>
      <c r="O10" s="97">
        <v>0.05</v>
      </c>
      <c r="R10" s="94">
        <v>285</v>
      </c>
    </row>
    <row r="11" spans="1:18" ht="12.75">
      <c r="A11" s="134"/>
      <c r="B11" s="66" t="s">
        <v>59</v>
      </c>
      <c r="C11" s="67" t="s">
        <v>77</v>
      </c>
      <c r="D11" s="68" t="s">
        <v>71</v>
      </c>
      <c r="E11" s="125" t="s">
        <v>76</v>
      </c>
      <c r="F11" s="135"/>
      <c r="G11" s="69">
        <v>7637.76</v>
      </c>
      <c r="H11" s="86">
        <v>127.29600000000001</v>
      </c>
      <c r="I11" s="81">
        <v>0.05</v>
      </c>
      <c r="J11" s="77">
        <v>420</v>
      </c>
      <c r="L11" s="75">
        <v>120</v>
      </c>
      <c r="N11" s="80">
        <v>150</v>
      </c>
      <c r="O11" s="97">
        <v>0.05</v>
      </c>
      <c r="R11" s="94">
        <v>420</v>
      </c>
    </row>
    <row r="12" spans="1:18">
      <c r="A12" s="70"/>
      <c r="B12" s="71"/>
      <c r="C12" s="117" t="s">
        <v>78</v>
      </c>
      <c r="D12" s="117"/>
      <c r="E12" s="117"/>
      <c r="F12" s="118" t="s">
        <v>79</v>
      </c>
      <c r="G12" s="119"/>
      <c r="H12" s="87"/>
      <c r="I12" s="82"/>
      <c r="J12" s="78"/>
      <c r="R12" s="95"/>
    </row>
    <row r="13" spans="1:18">
      <c r="A13" s="72"/>
      <c r="B13" s="73"/>
      <c r="C13" s="120"/>
      <c r="D13" s="120"/>
      <c r="E13" s="120"/>
      <c r="F13" s="121" t="s">
        <v>80</v>
      </c>
      <c r="G13" s="121"/>
      <c r="H13" s="88" t="s">
        <v>81</v>
      </c>
      <c r="I13" s="83" t="s">
        <v>56</v>
      </c>
      <c r="J13" s="79" t="s">
        <v>57</v>
      </c>
      <c r="R13" s="93" t="s">
        <v>92</v>
      </c>
    </row>
    <row r="14" spans="1:18">
      <c r="A14" s="122" t="s">
        <v>58</v>
      </c>
      <c r="B14" s="66" t="s">
        <v>59</v>
      </c>
      <c r="C14" s="67" t="s">
        <v>82</v>
      </c>
      <c r="D14" s="68" t="s">
        <v>61</v>
      </c>
      <c r="E14" s="125" t="s">
        <v>62</v>
      </c>
      <c r="F14" s="126"/>
      <c r="G14" s="74">
        <v>7128.576</v>
      </c>
      <c r="H14" s="89">
        <v>7.4255999999999993</v>
      </c>
      <c r="I14" s="84">
        <v>0.05</v>
      </c>
      <c r="J14" s="77">
        <v>30</v>
      </c>
      <c r="R14" s="96">
        <v>30</v>
      </c>
    </row>
    <row r="15" spans="1:18">
      <c r="A15" s="123"/>
      <c r="B15" s="66" t="s">
        <v>59</v>
      </c>
      <c r="C15" s="67" t="s">
        <v>83</v>
      </c>
      <c r="D15" s="68" t="s">
        <v>64</v>
      </c>
      <c r="E15" s="125" t="s">
        <v>62</v>
      </c>
      <c r="F15" s="126"/>
      <c r="G15" s="74">
        <v>9144.0959999999995</v>
      </c>
      <c r="H15" s="89">
        <v>18.0336</v>
      </c>
      <c r="I15" s="84">
        <v>0.05</v>
      </c>
      <c r="J15" s="77">
        <v>60</v>
      </c>
      <c r="R15" s="96">
        <v>60</v>
      </c>
    </row>
    <row r="16" spans="1:18">
      <c r="A16" s="123"/>
      <c r="B16" s="66" t="s">
        <v>59</v>
      </c>
      <c r="C16" s="67" t="s">
        <v>84</v>
      </c>
      <c r="D16" s="68" t="s">
        <v>69</v>
      </c>
      <c r="E16" s="125" t="s">
        <v>62</v>
      </c>
      <c r="F16" s="126"/>
      <c r="G16" s="74">
        <v>8910.7199999999993</v>
      </c>
      <c r="H16" s="89">
        <v>37.128</v>
      </c>
      <c r="I16" s="84">
        <v>0.05</v>
      </c>
      <c r="J16" s="77">
        <v>100</v>
      </c>
      <c r="R16" s="96">
        <v>100</v>
      </c>
    </row>
    <row r="17" spans="1:18">
      <c r="A17" s="123"/>
      <c r="B17" s="66" t="s">
        <v>59</v>
      </c>
      <c r="C17" s="67" t="s">
        <v>85</v>
      </c>
      <c r="D17" s="68" t="s">
        <v>71</v>
      </c>
      <c r="E17" s="125" t="s">
        <v>86</v>
      </c>
      <c r="F17" s="126"/>
      <c r="G17" s="74">
        <v>8274.24</v>
      </c>
      <c r="H17" s="89">
        <v>68.951999999999998</v>
      </c>
      <c r="I17" s="84">
        <v>0.05</v>
      </c>
      <c r="J17" s="77">
        <v>150</v>
      </c>
      <c r="R17" s="96">
        <v>150</v>
      </c>
    </row>
    <row r="18" spans="1:18">
      <c r="A18" s="123"/>
      <c r="B18" s="66" t="s">
        <v>59</v>
      </c>
      <c r="C18" s="67" t="s">
        <v>87</v>
      </c>
      <c r="D18" s="68" t="s">
        <v>71</v>
      </c>
      <c r="E18" s="125" t="s">
        <v>74</v>
      </c>
      <c r="F18" s="126"/>
      <c r="G18" s="74">
        <v>7637.76</v>
      </c>
      <c r="H18" s="89">
        <v>95.471999999999994</v>
      </c>
      <c r="I18" s="84">
        <v>0.05</v>
      </c>
      <c r="J18" s="77">
        <v>300</v>
      </c>
      <c r="R18" s="96">
        <v>300</v>
      </c>
    </row>
    <row r="19" spans="1:18">
      <c r="A19" s="123"/>
      <c r="B19" s="66" t="s">
        <v>59</v>
      </c>
      <c r="C19" s="67" t="s">
        <v>88</v>
      </c>
      <c r="D19" s="68" t="s">
        <v>71</v>
      </c>
      <c r="E19" s="125" t="s">
        <v>89</v>
      </c>
      <c r="F19" s="126"/>
      <c r="G19" s="74">
        <v>8168.16</v>
      </c>
      <c r="H19" s="89">
        <v>116.688</v>
      </c>
      <c r="I19" s="84">
        <v>0.05</v>
      </c>
      <c r="J19" s="77">
        <v>380</v>
      </c>
      <c r="R19" s="96">
        <v>380</v>
      </c>
    </row>
    <row r="20" spans="1:18">
      <c r="A20" s="124"/>
      <c r="B20" s="66" t="s">
        <v>59</v>
      </c>
      <c r="C20" s="67" t="s">
        <v>90</v>
      </c>
      <c r="D20" s="68" t="s">
        <v>71</v>
      </c>
      <c r="E20" s="125" t="s">
        <v>76</v>
      </c>
      <c r="F20" s="126"/>
      <c r="G20" s="74">
        <v>8274.24</v>
      </c>
      <c r="H20" s="89">
        <v>137.904</v>
      </c>
      <c r="I20" s="84">
        <v>0.05</v>
      </c>
      <c r="J20" s="77">
        <v>500</v>
      </c>
      <c r="R20" s="96">
        <v>500</v>
      </c>
    </row>
    <row r="33" spans="4:4">
      <c r="D33" s="63" t="s">
        <v>94</v>
      </c>
    </row>
  </sheetData>
  <mergeCells count="24">
    <mergeCell ref="A1:J1"/>
    <mergeCell ref="E2:F2"/>
    <mergeCell ref="A3:A11"/>
    <mergeCell ref="E3:F3"/>
    <mergeCell ref="E4:F4"/>
    <mergeCell ref="E5:F5"/>
    <mergeCell ref="E6:F6"/>
    <mergeCell ref="E7:F7"/>
    <mergeCell ref="E8:F8"/>
    <mergeCell ref="E9:F9"/>
    <mergeCell ref="E10:F10"/>
    <mergeCell ref="E11:F11"/>
    <mergeCell ref="C12:E12"/>
    <mergeCell ref="F12:G12"/>
    <mergeCell ref="C13:E13"/>
    <mergeCell ref="F13:G13"/>
    <mergeCell ref="A14:A20"/>
    <mergeCell ref="E14:F14"/>
    <mergeCell ref="E15:F15"/>
    <mergeCell ref="E16:F16"/>
    <mergeCell ref="E17:F17"/>
    <mergeCell ref="E18:F18"/>
    <mergeCell ref="E19:F19"/>
    <mergeCell ref="E20:F20"/>
  </mergeCells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1</vt:lpstr>
      <vt:lpstr>Table 2</vt:lpstr>
      <vt:lpstr>Price list for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Untitled-1</dc:title>
  <dc:creator>Sri</dc:creator>
  <cp:lastModifiedBy>Admin</cp:lastModifiedBy>
  <cp:lastPrinted>2025-11-19T06:47:02Z</cp:lastPrinted>
  <dcterms:created xsi:type="dcterms:W3CDTF">2025-11-02T17:15:12Z</dcterms:created>
  <dcterms:modified xsi:type="dcterms:W3CDTF">2025-11-27T15:04:05Z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2025-09-13T00:00:00Z</vt:filetime>
  </property>
  <property fmtid="{D5CDD505-2E9C-101B-9397-08002B2CF9AE}" pid="3" name="Creator">
    <vt:lpwstr>CorelDRAW X6</vt:lpwstr>
  </property>
  <property fmtid="{D5CDD505-2E9C-101B-9397-08002B2CF9AE}" pid="4" name="LastSaved">
    <vt:filetime>2025-11-02T00:00:00Z</vt:filetime>
  </property>
  <property fmtid="{D5CDD505-2E9C-101B-9397-08002B2CF9AE}" pid="5" name="Producer">
    <vt:lpwstr>Corel PDF Engine Version 16.1.0.843</vt:lpwstr>
  </property>
</Properties>
</file>