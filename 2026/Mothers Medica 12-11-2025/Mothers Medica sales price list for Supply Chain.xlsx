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others Medica 12-11-2025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89" i="1" l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L74" i="1"/>
  <c r="AL73" i="1"/>
  <c r="AL72" i="1"/>
  <c r="AL71" i="1"/>
  <c r="AL70" i="1"/>
  <c r="AL69" i="1"/>
  <c r="AL68" i="1"/>
  <c r="AL67" i="1"/>
  <c r="AL66" i="1"/>
  <c r="AL65" i="1"/>
  <c r="AK74" i="1"/>
  <c r="AK73" i="1"/>
  <c r="AK72" i="1"/>
  <c r="AK71" i="1"/>
  <c r="AK70" i="1"/>
  <c r="AK69" i="1"/>
  <c r="AK68" i="1"/>
  <c r="AK67" i="1"/>
  <c r="AK66" i="1"/>
  <c r="AK65" i="1"/>
  <c r="AH74" i="1"/>
  <c r="AH73" i="1"/>
  <c r="AH72" i="1"/>
  <c r="AH71" i="1"/>
  <c r="AH70" i="1"/>
  <c r="AH69" i="1"/>
  <c r="AH68" i="1"/>
  <c r="AH67" i="1"/>
  <c r="AH66" i="1"/>
  <c r="AH65" i="1"/>
  <c r="AG75" i="1"/>
  <c r="AH75" i="1" s="1"/>
  <c r="AG74" i="1"/>
  <c r="AG73" i="1"/>
  <c r="AG72" i="1"/>
  <c r="AG71" i="1"/>
  <c r="AG70" i="1"/>
  <c r="AG69" i="1"/>
  <c r="AG68" i="1"/>
  <c r="AG67" i="1"/>
  <c r="AG66" i="1"/>
  <c r="AG65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N6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M6" i="1"/>
  <c r="AK75" i="1" l="1"/>
  <c r="AL75" i="1"/>
  <c r="I6" i="1"/>
  <c r="S13" i="1" l="1"/>
  <c r="V66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65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65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5" i="1"/>
  <c r="AB75" i="1"/>
  <c r="F53" i="1"/>
  <c r="F31" i="1"/>
  <c r="F29" i="1"/>
  <c r="F28" i="1"/>
  <c r="F27" i="1"/>
  <c r="F26" i="1"/>
  <c r="F25" i="1"/>
  <c r="F24" i="1"/>
  <c r="F23" i="1"/>
  <c r="F7" i="1" l="1"/>
  <c r="F9" i="1"/>
  <c r="F8" i="1"/>
  <c r="F10" i="1"/>
  <c r="F11" i="1"/>
  <c r="F12" i="1"/>
  <c r="F16" i="1"/>
  <c r="F17" i="1"/>
  <c r="F18" i="1"/>
  <c r="F19" i="1"/>
  <c r="F20" i="1"/>
  <c r="F33" i="1"/>
  <c r="F34" i="1"/>
  <c r="F35" i="1"/>
  <c r="F36" i="1"/>
  <c r="F38" i="1"/>
  <c r="F39" i="1"/>
  <c r="F40" i="1"/>
  <c r="F41" i="1"/>
  <c r="F44" i="1"/>
  <c r="F45" i="1"/>
  <c r="F46" i="1"/>
  <c r="F47" i="1"/>
  <c r="F48" i="1"/>
  <c r="F50" i="1"/>
  <c r="F51" i="1"/>
  <c r="F52" i="1"/>
  <c r="F56" i="1"/>
  <c r="F57" i="1"/>
  <c r="F58" i="1"/>
  <c r="F59" i="1"/>
  <c r="F60" i="1"/>
  <c r="F61" i="1"/>
  <c r="F65" i="1"/>
  <c r="F66" i="1"/>
  <c r="F67" i="1"/>
  <c r="F68" i="1"/>
  <c r="F69" i="1"/>
  <c r="F70" i="1"/>
  <c r="F71" i="1"/>
  <c r="F72" i="1"/>
  <c r="F73" i="1"/>
  <c r="F74" i="1"/>
  <c r="F75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X6" i="1"/>
  <c r="Y6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AE75" i="1"/>
  <c r="AE74" i="1"/>
  <c r="AE73" i="1"/>
  <c r="AE72" i="1"/>
  <c r="AE71" i="1"/>
  <c r="AE70" i="1"/>
  <c r="AE69" i="1"/>
  <c r="AE68" i="1"/>
  <c r="AE67" i="1"/>
  <c r="AE66" i="1"/>
  <c r="AE65" i="1"/>
  <c r="AD75" i="1"/>
  <c r="AD74" i="1"/>
  <c r="AD73" i="1"/>
  <c r="AD72" i="1"/>
  <c r="AD71" i="1"/>
  <c r="AD70" i="1"/>
  <c r="AD69" i="1"/>
  <c r="AD68" i="1"/>
  <c r="AD67" i="1"/>
  <c r="AD66" i="1"/>
  <c r="AB74" i="1"/>
  <c r="AB73" i="1"/>
  <c r="AB72" i="1"/>
  <c r="AB71" i="1"/>
  <c r="AB70" i="1"/>
  <c r="AB69" i="1"/>
  <c r="AB68" i="1"/>
  <c r="AB67" i="1"/>
  <c r="AB66" i="1"/>
  <c r="AA74" i="1"/>
  <c r="AA73" i="1"/>
  <c r="AA72" i="1"/>
  <c r="AA71" i="1"/>
  <c r="AA70" i="1"/>
  <c r="AA69" i="1"/>
  <c r="AA68" i="1"/>
  <c r="AA67" i="1"/>
  <c r="AA66" i="1"/>
  <c r="AA65" i="1"/>
  <c r="U65" i="1"/>
  <c r="Y75" i="1"/>
  <c r="Y74" i="1"/>
  <c r="Y73" i="1"/>
  <c r="Y72" i="1"/>
  <c r="Y71" i="1"/>
  <c r="Y70" i="1"/>
  <c r="Y69" i="1"/>
  <c r="Y68" i="1"/>
  <c r="Y67" i="1"/>
  <c r="Y66" i="1"/>
  <c r="Y65" i="1"/>
  <c r="X65" i="1"/>
  <c r="X75" i="1"/>
  <c r="X74" i="1"/>
  <c r="X73" i="1"/>
  <c r="X72" i="1"/>
  <c r="X71" i="1"/>
  <c r="X70" i="1"/>
  <c r="X69" i="1"/>
  <c r="X68" i="1"/>
  <c r="X67" i="1"/>
  <c r="X66" i="1"/>
  <c r="V75" i="1"/>
  <c r="V74" i="1"/>
  <c r="V73" i="1"/>
  <c r="V72" i="1"/>
  <c r="V71" i="1"/>
  <c r="V70" i="1"/>
  <c r="V69" i="1"/>
  <c r="V68" i="1"/>
  <c r="V67" i="1"/>
  <c r="V65" i="1"/>
  <c r="V61" i="1"/>
  <c r="U75" i="1"/>
  <c r="U74" i="1"/>
  <c r="U73" i="1"/>
  <c r="U72" i="1"/>
  <c r="U71" i="1"/>
  <c r="U70" i="1"/>
  <c r="U69" i="1"/>
  <c r="U68" i="1"/>
  <c r="U67" i="1"/>
  <c r="U66" i="1"/>
  <c r="S75" i="1"/>
  <c r="S74" i="1"/>
  <c r="S73" i="1"/>
  <c r="S72" i="1"/>
  <c r="S71" i="1"/>
  <c r="S70" i="1"/>
  <c r="S69" i="1"/>
  <c r="S68" i="1"/>
  <c r="S67" i="1"/>
  <c r="S66" i="1"/>
  <c r="S65" i="1"/>
  <c r="R75" i="1"/>
  <c r="R74" i="1"/>
  <c r="R73" i="1"/>
  <c r="R72" i="1"/>
  <c r="R71" i="1"/>
  <c r="R70" i="1"/>
  <c r="R69" i="1"/>
  <c r="R68" i="1"/>
  <c r="R67" i="1"/>
  <c r="R66" i="1"/>
  <c r="R65" i="1"/>
  <c r="P75" i="1"/>
  <c r="P74" i="1"/>
  <c r="P73" i="1"/>
  <c r="P72" i="1"/>
  <c r="P71" i="1"/>
  <c r="P70" i="1"/>
  <c r="P69" i="1"/>
  <c r="P68" i="1"/>
  <c r="P67" i="1"/>
  <c r="P66" i="1"/>
  <c r="P65" i="1"/>
  <c r="O75" i="1"/>
  <c r="O74" i="1"/>
  <c r="O73" i="1"/>
  <c r="O72" i="1"/>
  <c r="O71" i="1"/>
  <c r="O70" i="1"/>
  <c r="O69" i="1"/>
  <c r="O68" i="1"/>
  <c r="O67" i="1"/>
  <c r="O66" i="1"/>
  <c r="O65" i="1"/>
  <c r="M72" i="1" l="1"/>
  <c r="M66" i="1"/>
  <c r="L75" i="1"/>
  <c r="L74" i="1"/>
  <c r="L73" i="1"/>
  <c r="L72" i="1"/>
  <c r="L71" i="1"/>
  <c r="L70" i="1"/>
  <c r="L69" i="1"/>
  <c r="L68" i="1"/>
  <c r="L67" i="1"/>
  <c r="L66" i="1"/>
  <c r="L65" i="1"/>
  <c r="J75" i="1"/>
  <c r="M75" i="1" s="1"/>
  <c r="J72" i="1"/>
  <c r="J71" i="1"/>
  <c r="M71" i="1" s="1"/>
  <c r="J70" i="1"/>
  <c r="M70" i="1" s="1"/>
  <c r="J69" i="1"/>
  <c r="M69" i="1" s="1"/>
  <c r="J66" i="1"/>
  <c r="I75" i="1"/>
  <c r="I74" i="1"/>
  <c r="J74" i="1" s="1"/>
  <c r="M74" i="1" s="1"/>
  <c r="I73" i="1"/>
  <c r="J73" i="1" s="1"/>
  <c r="M73" i="1" s="1"/>
  <c r="I72" i="1"/>
  <c r="I71" i="1"/>
  <c r="I70" i="1"/>
  <c r="I69" i="1"/>
  <c r="I68" i="1"/>
  <c r="J68" i="1" s="1"/>
  <c r="M68" i="1" s="1"/>
  <c r="I67" i="1"/>
  <c r="J67" i="1" s="1"/>
  <c r="M67" i="1" s="1"/>
  <c r="I66" i="1"/>
  <c r="I65" i="1"/>
  <c r="J65" i="1" s="1"/>
  <c r="M65" i="1" s="1"/>
  <c r="O61" i="1" l="1"/>
  <c r="U61" i="1" s="1"/>
  <c r="O48" i="1"/>
  <c r="U48" i="1" s="1"/>
  <c r="O24" i="1"/>
  <c r="U24" i="1" s="1"/>
  <c r="BN61" i="1"/>
  <c r="L20" i="1"/>
  <c r="L8" i="1"/>
  <c r="J59" i="1"/>
  <c r="J23" i="1"/>
  <c r="I61" i="1"/>
  <c r="J61" i="1" s="1"/>
  <c r="I60" i="1"/>
  <c r="J60" i="1" s="1"/>
  <c r="I59" i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L7" i="1" s="1"/>
  <c r="J6" i="1"/>
  <c r="AG11" i="1" l="1"/>
  <c r="AH11" i="1" s="1"/>
  <c r="AM11" i="1"/>
  <c r="AN11" i="1" s="1"/>
  <c r="AM9" i="1"/>
  <c r="AG9" i="1"/>
  <c r="AH9" i="1" s="1"/>
  <c r="AN9" i="1"/>
  <c r="AM15" i="1"/>
  <c r="AN15" i="1" s="1"/>
  <c r="AH15" i="1"/>
  <c r="AG15" i="1"/>
  <c r="AM21" i="1"/>
  <c r="AN21" i="1"/>
  <c r="AG21" i="1"/>
  <c r="AH21" i="1" s="1"/>
  <c r="AM27" i="1"/>
  <c r="AG27" i="1"/>
  <c r="AH27" i="1" s="1"/>
  <c r="AN27" i="1"/>
  <c r="AM33" i="1"/>
  <c r="AN33" i="1" s="1"/>
  <c r="AH33" i="1"/>
  <c r="AG33" i="1"/>
  <c r="AM39" i="1"/>
  <c r="AG39" i="1"/>
  <c r="AH39" i="1" s="1"/>
  <c r="AN39" i="1"/>
  <c r="AM45" i="1"/>
  <c r="AG45" i="1"/>
  <c r="AH45" i="1" s="1"/>
  <c r="AN45" i="1"/>
  <c r="AM51" i="1"/>
  <c r="AN51" i="1" s="1"/>
  <c r="AH51" i="1"/>
  <c r="AG51" i="1"/>
  <c r="AM57" i="1"/>
  <c r="AN57" i="1"/>
  <c r="AG57" i="1"/>
  <c r="AH57" i="1" s="1"/>
  <c r="AG23" i="1"/>
  <c r="AM23" i="1"/>
  <c r="AN23" i="1"/>
  <c r="AH23" i="1"/>
  <c r="AM10" i="1"/>
  <c r="AN10" i="1" s="1"/>
  <c r="AG10" i="1"/>
  <c r="AH10" i="1" s="1"/>
  <c r="AM16" i="1"/>
  <c r="AG16" i="1"/>
  <c r="AN16" i="1"/>
  <c r="AH16" i="1"/>
  <c r="AM22" i="1"/>
  <c r="AG22" i="1"/>
  <c r="AH22" i="1" s="1"/>
  <c r="AN22" i="1"/>
  <c r="AG28" i="1"/>
  <c r="AH28" i="1" s="1"/>
  <c r="AM28" i="1"/>
  <c r="AN28" i="1"/>
  <c r="AM34" i="1"/>
  <c r="AN34" i="1" s="1"/>
  <c r="AG34" i="1"/>
  <c r="AH34" i="1" s="1"/>
  <c r="AG40" i="1"/>
  <c r="AH40" i="1" s="1"/>
  <c r="AM40" i="1"/>
  <c r="AN40" i="1" s="1"/>
  <c r="AM46" i="1"/>
  <c r="AN46" i="1" s="1"/>
  <c r="AG46" i="1"/>
  <c r="AH46" i="1" s="1"/>
  <c r="AM52" i="1"/>
  <c r="AG52" i="1"/>
  <c r="AH52" i="1" s="1"/>
  <c r="AN52" i="1"/>
  <c r="AM58" i="1"/>
  <c r="AN58" i="1"/>
  <c r="AG58" i="1"/>
  <c r="AH58" i="1" s="1"/>
  <c r="AG59" i="1"/>
  <c r="AH59" i="1" s="1"/>
  <c r="AM59" i="1"/>
  <c r="AN59" i="1" s="1"/>
  <c r="AG17" i="1"/>
  <c r="AM17" i="1"/>
  <c r="AN17" i="1" s="1"/>
  <c r="AH17" i="1"/>
  <c r="AG29" i="1"/>
  <c r="AM29" i="1"/>
  <c r="AH29" i="1"/>
  <c r="AN29" i="1"/>
  <c r="AG35" i="1"/>
  <c r="AH35" i="1" s="1"/>
  <c r="AN35" i="1"/>
  <c r="AM35" i="1"/>
  <c r="AG41" i="1"/>
  <c r="AH41" i="1"/>
  <c r="AM41" i="1"/>
  <c r="AN41" i="1"/>
  <c r="AG47" i="1"/>
  <c r="AH47" i="1"/>
  <c r="AM47" i="1"/>
  <c r="AN47" i="1" s="1"/>
  <c r="AG53" i="1"/>
  <c r="AH53" i="1" s="1"/>
  <c r="AM53" i="1"/>
  <c r="AN53" i="1" s="1"/>
  <c r="O29" i="1"/>
  <c r="U29" i="1" s="1"/>
  <c r="V29" i="1" s="1"/>
  <c r="AG6" i="1"/>
  <c r="AH6" i="1" s="1"/>
  <c r="AM12" i="1"/>
  <c r="AN12" i="1" s="1"/>
  <c r="AG12" i="1"/>
  <c r="AH12" i="1" s="1"/>
  <c r="AG18" i="1"/>
  <c r="AH18" i="1"/>
  <c r="AM18" i="1"/>
  <c r="AN18" i="1" s="1"/>
  <c r="AM24" i="1"/>
  <c r="AN24" i="1" s="1"/>
  <c r="AG24" i="1"/>
  <c r="AH24" i="1" s="1"/>
  <c r="AM30" i="1"/>
  <c r="AN30" i="1"/>
  <c r="AG30" i="1"/>
  <c r="AH30" i="1" s="1"/>
  <c r="AM36" i="1"/>
  <c r="AG36" i="1"/>
  <c r="AH36" i="1" s="1"/>
  <c r="AN36" i="1"/>
  <c r="AG42" i="1"/>
  <c r="AH42" i="1" s="1"/>
  <c r="AM42" i="1"/>
  <c r="AN42" i="1" s="1"/>
  <c r="AM48" i="1"/>
  <c r="AN48" i="1" s="1"/>
  <c r="AG48" i="1"/>
  <c r="AH48" i="1" s="1"/>
  <c r="AG54" i="1"/>
  <c r="AH54" i="1"/>
  <c r="AM54" i="1"/>
  <c r="AN54" i="1" s="1"/>
  <c r="AM60" i="1"/>
  <c r="AN60" i="1" s="1"/>
  <c r="AG60" i="1"/>
  <c r="AH60" i="1" s="1"/>
  <c r="O30" i="1"/>
  <c r="U30" i="1" s="1"/>
  <c r="V30" i="1" s="1"/>
  <c r="AM7" i="1"/>
  <c r="AN7" i="1" s="1"/>
  <c r="AG7" i="1"/>
  <c r="AH7" i="1" s="1"/>
  <c r="AM13" i="1"/>
  <c r="AN13" i="1" s="1"/>
  <c r="AG13" i="1"/>
  <c r="AH13" i="1" s="1"/>
  <c r="AN19" i="1"/>
  <c r="AH19" i="1"/>
  <c r="AM19" i="1"/>
  <c r="AG19" i="1"/>
  <c r="AG25" i="1"/>
  <c r="AH25" i="1" s="1"/>
  <c r="AM25" i="1"/>
  <c r="AN25" i="1" s="1"/>
  <c r="AM31" i="1"/>
  <c r="AN31" i="1" s="1"/>
  <c r="AG31" i="1"/>
  <c r="AH31" i="1"/>
  <c r="AM37" i="1"/>
  <c r="AN37" i="1" s="1"/>
  <c r="AG37" i="1"/>
  <c r="AH37" i="1" s="1"/>
  <c r="AM43" i="1"/>
  <c r="AN43" i="1" s="1"/>
  <c r="AG43" i="1"/>
  <c r="AH43" i="1" s="1"/>
  <c r="AG49" i="1"/>
  <c r="AH49" i="1"/>
  <c r="AM49" i="1"/>
  <c r="AN49" i="1" s="1"/>
  <c r="AN55" i="1"/>
  <c r="AH55" i="1"/>
  <c r="AM55" i="1"/>
  <c r="AG55" i="1"/>
  <c r="AG61" i="1"/>
  <c r="AH61" i="1" s="1"/>
  <c r="AM61" i="1"/>
  <c r="AN61" i="1" s="1"/>
  <c r="O42" i="1"/>
  <c r="U42" i="1" s="1"/>
  <c r="AM8" i="1"/>
  <c r="AG8" i="1"/>
  <c r="AH8" i="1" s="1"/>
  <c r="AN8" i="1"/>
  <c r="AM14" i="1"/>
  <c r="AN14" i="1" s="1"/>
  <c r="AG14" i="1"/>
  <c r="AH14" i="1" s="1"/>
  <c r="AG20" i="1"/>
  <c r="AH20" i="1" s="1"/>
  <c r="AM20" i="1"/>
  <c r="AN20" i="1" s="1"/>
  <c r="AM26" i="1"/>
  <c r="AN26" i="1" s="1"/>
  <c r="AG26" i="1"/>
  <c r="AH26" i="1" s="1"/>
  <c r="AG32" i="1"/>
  <c r="AH32" i="1" s="1"/>
  <c r="AM32" i="1"/>
  <c r="AN32" i="1" s="1"/>
  <c r="AM38" i="1"/>
  <c r="AN38" i="1" s="1"/>
  <c r="AG38" i="1"/>
  <c r="AH38" i="1" s="1"/>
  <c r="AM44" i="1"/>
  <c r="AN44" i="1"/>
  <c r="AG44" i="1"/>
  <c r="AH44" i="1" s="1"/>
  <c r="AM50" i="1"/>
  <c r="AN50" i="1" s="1"/>
  <c r="AG50" i="1"/>
  <c r="AH50" i="1"/>
  <c r="AH56" i="1"/>
  <c r="AM56" i="1"/>
  <c r="AN56" i="1"/>
  <c r="AG56" i="1"/>
  <c r="L56" i="1"/>
  <c r="O43" i="1"/>
  <c r="U43" i="1" s="1"/>
  <c r="L11" i="1"/>
  <c r="M11" i="1" s="1"/>
  <c r="AA11" i="1"/>
  <c r="AB11" i="1" s="1"/>
  <c r="AA9" i="1"/>
  <c r="AB9" i="1" s="1"/>
  <c r="AA15" i="1"/>
  <c r="AB15" i="1" s="1"/>
  <c r="AA21" i="1"/>
  <c r="AB21" i="1" s="1"/>
  <c r="AA27" i="1"/>
  <c r="AB27" i="1" s="1"/>
  <c r="AA33" i="1"/>
  <c r="AB33" i="1" s="1"/>
  <c r="AA39" i="1"/>
  <c r="AB39" i="1" s="1"/>
  <c r="AA45" i="1"/>
  <c r="AB45" i="1" s="1"/>
  <c r="AA51" i="1"/>
  <c r="AB51" i="1" s="1"/>
  <c r="AA57" i="1"/>
  <c r="AB57" i="1" s="1"/>
  <c r="L23" i="1"/>
  <c r="M23" i="1" s="1"/>
  <c r="AA23" i="1"/>
  <c r="AB23" i="1" s="1"/>
  <c r="AA10" i="1"/>
  <c r="AB10" i="1"/>
  <c r="AA16" i="1"/>
  <c r="AB16" i="1" s="1"/>
  <c r="AA22" i="1"/>
  <c r="AB22" i="1" s="1"/>
  <c r="AA28" i="1"/>
  <c r="AB28" i="1" s="1"/>
  <c r="AA34" i="1"/>
  <c r="AB34" i="1" s="1"/>
  <c r="AA40" i="1"/>
  <c r="AB40" i="1" s="1"/>
  <c r="AA46" i="1"/>
  <c r="AB46" i="1"/>
  <c r="AA52" i="1"/>
  <c r="AB52" i="1" s="1"/>
  <c r="O58" i="1"/>
  <c r="AA58" i="1"/>
  <c r="AB58" i="1"/>
  <c r="L59" i="1"/>
  <c r="AA59" i="1"/>
  <c r="AB59" i="1" s="1"/>
  <c r="L35" i="1"/>
  <c r="AA35" i="1"/>
  <c r="AB35" i="1" s="1"/>
  <c r="O35" i="1"/>
  <c r="U35" i="1" s="1"/>
  <c r="V35" i="1" s="1"/>
  <c r="L47" i="1"/>
  <c r="AA47" i="1"/>
  <c r="AB47" i="1" s="1"/>
  <c r="AA6" i="1"/>
  <c r="AB6" i="1" s="1"/>
  <c r="O6" i="1"/>
  <c r="U6" i="1" s="1"/>
  <c r="V6" i="1" s="1"/>
  <c r="AB17" i="1"/>
  <c r="AA17" i="1"/>
  <c r="AA29" i="1"/>
  <c r="AB29" i="1" s="1"/>
  <c r="AA41" i="1"/>
  <c r="AB41" i="1" s="1"/>
  <c r="AA53" i="1"/>
  <c r="AB53" i="1" s="1"/>
  <c r="AA12" i="1"/>
  <c r="AB12" i="1" s="1"/>
  <c r="AA18" i="1"/>
  <c r="AB18" i="1" s="1"/>
  <c r="AB24" i="1"/>
  <c r="V24" i="1"/>
  <c r="AA24" i="1"/>
  <c r="AA30" i="1"/>
  <c r="AB30" i="1" s="1"/>
  <c r="AB36" i="1"/>
  <c r="AA36" i="1"/>
  <c r="AA42" i="1"/>
  <c r="AB42" i="1" s="1"/>
  <c r="V42" i="1"/>
  <c r="AA48" i="1"/>
  <c r="AB48" i="1" s="1"/>
  <c r="V48" i="1"/>
  <c r="AA54" i="1"/>
  <c r="AB54" i="1" s="1"/>
  <c r="AB60" i="1"/>
  <c r="AA60" i="1"/>
  <c r="O12" i="1"/>
  <c r="U12" i="1" s="1"/>
  <c r="V12" i="1" s="1"/>
  <c r="O53" i="1"/>
  <c r="AA7" i="1"/>
  <c r="AB7" i="1" s="1"/>
  <c r="AA13" i="1"/>
  <c r="AB13" i="1" s="1"/>
  <c r="O19" i="1"/>
  <c r="U19" i="1" s="1"/>
  <c r="V19" i="1" s="1"/>
  <c r="AA19" i="1"/>
  <c r="AB19" i="1" s="1"/>
  <c r="O25" i="1"/>
  <c r="U25" i="1" s="1"/>
  <c r="V25" i="1" s="1"/>
  <c r="AA25" i="1"/>
  <c r="AB25" i="1" s="1"/>
  <c r="AA31" i="1"/>
  <c r="AB31" i="1"/>
  <c r="O37" i="1"/>
  <c r="U37" i="1" s="1"/>
  <c r="V37" i="1" s="1"/>
  <c r="AA37" i="1"/>
  <c r="AB37" i="1" s="1"/>
  <c r="L43" i="1"/>
  <c r="AA43" i="1"/>
  <c r="V43" i="1"/>
  <c r="AB43" i="1"/>
  <c r="AA49" i="1"/>
  <c r="AB49" i="1" s="1"/>
  <c r="O55" i="1"/>
  <c r="U55" i="1" s="1"/>
  <c r="V55" i="1" s="1"/>
  <c r="AA55" i="1"/>
  <c r="AB55" i="1"/>
  <c r="AA61" i="1"/>
  <c r="AB61" i="1" s="1"/>
  <c r="L31" i="1"/>
  <c r="M31" i="1" s="1"/>
  <c r="O17" i="1"/>
  <c r="O36" i="1"/>
  <c r="U36" i="1" s="1"/>
  <c r="V36" i="1" s="1"/>
  <c r="O54" i="1"/>
  <c r="U54" i="1" s="1"/>
  <c r="V54" i="1" s="1"/>
  <c r="O8" i="1"/>
  <c r="AA8" i="1"/>
  <c r="AB8" i="1" s="1"/>
  <c r="O14" i="1"/>
  <c r="AA14" i="1"/>
  <c r="AB14" i="1" s="1"/>
  <c r="O20" i="1"/>
  <c r="AA20" i="1"/>
  <c r="AB20" i="1" s="1"/>
  <c r="O26" i="1"/>
  <c r="AA26" i="1"/>
  <c r="AB26" i="1"/>
  <c r="AA32" i="1"/>
  <c r="AB32" i="1" s="1"/>
  <c r="O38" i="1"/>
  <c r="AA38" i="1"/>
  <c r="AB38" i="1" s="1"/>
  <c r="O44" i="1"/>
  <c r="AA44" i="1"/>
  <c r="AB44" i="1" s="1"/>
  <c r="O50" i="1"/>
  <c r="AB50" i="1"/>
  <c r="AA50" i="1"/>
  <c r="O56" i="1"/>
  <c r="AA56" i="1"/>
  <c r="AB56" i="1"/>
  <c r="L44" i="1"/>
  <c r="O18" i="1"/>
  <c r="U18" i="1" s="1"/>
  <c r="V18" i="1" s="1"/>
  <c r="O41" i="1"/>
  <c r="O60" i="1"/>
  <c r="U60" i="1" s="1"/>
  <c r="V60" i="1" s="1"/>
  <c r="O22" i="1"/>
  <c r="U22" i="1" s="1"/>
  <c r="V22" i="1" s="1"/>
  <c r="P22" i="1"/>
  <c r="O40" i="1"/>
  <c r="U40" i="1" s="1"/>
  <c r="V40" i="1" s="1"/>
  <c r="O27" i="1"/>
  <c r="M7" i="1"/>
  <c r="O46" i="1"/>
  <c r="L27" i="1"/>
  <c r="M27" i="1" s="1"/>
  <c r="O10" i="1"/>
  <c r="U10" i="1" s="1"/>
  <c r="V10" i="1" s="1"/>
  <c r="O16" i="1"/>
  <c r="U16" i="1" s="1"/>
  <c r="V16" i="1" s="1"/>
  <c r="O34" i="1"/>
  <c r="U34" i="1" s="1"/>
  <c r="V34" i="1" s="1"/>
  <c r="O9" i="1"/>
  <c r="U9" i="1" s="1"/>
  <c r="V9" i="1" s="1"/>
  <c r="P9" i="1"/>
  <c r="L9" i="1"/>
  <c r="M9" i="1" s="1"/>
  <c r="O15" i="1"/>
  <c r="L15" i="1"/>
  <c r="O21" i="1"/>
  <c r="U21" i="1" s="1"/>
  <c r="V21" i="1" s="1"/>
  <c r="L21" i="1"/>
  <c r="M21" i="1" s="1"/>
  <c r="O33" i="1"/>
  <c r="L33" i="1"/>
  <c r="M33" i="1" s="1"/>
  <c r="O39" i="1"/>
  <c r="U39" i="1" s="1"/>
  <c r="V39" i="1" s="1"/>
  <c r="L39" i="1"/>
  <c r="M39" i="1" s="1"/>
  <c r="O45" i="1"/>
  <c r="L45" i="1"/>
  <c r="O51" i="1"/>
  <c r="U51" i="1" s="1"/>
  <c r="V51" i="1" s="1"/>
  <c r="L51" i="1"/>
  <c r="M51" i="1" s="1"/>
  <c r="O57" i="1"/>
  <c r="U57" i="1" s="1"/>
  <c r="V57" i="1" s="1"/>
  <c r="L57" i="1"/>
  <c r="M57" i="1" s="1"/>
  <c r="O52" i="1"/>
  <c r="O7" i="1"/>
  <c r="U7" i="1" s="1"/>
  <c r="V7" i="1" s="1"/>
  <c r="O28" i="1"/>
  <c r="L6" i="1"/>
  <c r="L12" i="1"/>
  <c r="M12" i="1" s="1"/>
  <c r="P12" i="1"/>
  <c r="L18" i="1"/>
  <c r="M18" i="1" s="1"/>
  <c r="P18" i="1"/>
  <c r="L24" i="1"/>
  <c r="P24" i="1"/>
  <c r="L30" i="1"/>
  <c r="P30" i="1"/>
  <c r="L36" i="1"/>
  <c r="M36" i="1" s="1"/>
  <c r="P36" i="1"/>
  <c r="L42" i="1"/>
  <c r="M42" i="1" s="1"/>
  <c r="P42" i="1"/>
  <c r="L48" i="1"/>
  <c r="M48" i="1" s="1"/>
  <c r="P48" i="1"/>
  <c r="L54" i="1"/>
  <c r="M54" i="1" s="1"/>
  <c r="P54" i="1"/>
  <c r="L60" i="1"/>
  <c r="M60" i="1" s="1"/>
  <c r="O11" i="1"/>
  <c r="U11" i="1" s="1"/>
  <c r="V11" i="1" s="1"/>
  <c r="O47" i="1"/>
  <c r="U47" i="1" s="1"/>
  <c r="V47" i="1" s="1"/>
  <c r="L25" i="1"/>
  <c r="P25" i="1"/>
  <c r="L13" i="1"/>
  <c r="M13" i="1" s="1"/>
  <c r="P19" i="1"/>
  <c r="L19" i="1"/>
  <c r="M19" i="1" s="1"/>
  <c r="L37" i="1"/>
  <c r="P37" i="1"/>
  <c r="P43" i="1"/>
  <c r="M43" i="1"/>
  <c r="L49" i="1"/>
  <c r="M49" i="1" s="1"/>
  <c r="L55" i="1"/>
  <c r="P61" i="1"/>
  <c r="M55" i="1"/>
  <c r="O32" i="1"/>
  <c r="L32" i="1"/>
  <c r="O13" i="1"/>
  <c r="O23" i="1"/>
  <c r="O31" i="1"/>
  <c r="U31" i="1" s="1"/>
  <c r="V31" i="1" s="1"/>
  <c r="O49" i="1"/>
  <c r="O59" i="1"/>
  <c r="P11" i="1"/>
  <c r="P47" i="1"/>
  <c r="L17" i="1"/>
  <c r="M17" i="1" s="1"/>
  <c r="L29" i="1"/>
  <c r="M29" i="1" s="1"/>
  <c r="L41" i="1"/>
  <c r="M41" i="1" s="1"/>
  <c r="L53" i="1"/>
  <c r="M53" i="1" s="1"/>
  <c r="M15" i="1"/>
  <c r="M35" i="1"/>
  <c r="M47" i="1"/>
  <c r="M59" i="1"/>
  <c r="L16" i="1"/>
  <c r="M16" i="1" s="1"/>
  <c r="L28" i="1"/>
  <c r="M28" i="1" s="1"/>
  <c r="L40" i="1"/>
  <c r="M40" i="1" s="1"/>
  <c r="L52" i="1"/>
  <c r="M52" i="1" s="1"/>
  <c r="M24" i="1"/>
  <c r="M25" i="1"/>
  <c r="M37" i="1"/>
  <c r="M8" i="1"/>
  <c r="M20" i="1"/>
  <c r="M32" i="1"/>
  <c r="M44" i="1"/>
  <c r="M56" i="1"/>
  <c r="M45" i="1"/>
  <c r="L61" i="1"/>
  <c r="M61" i="1" s="1"/>
  <c r="L10" i="1"/>
  <c r="M10" i="1" s="1"/>
  <c r="L22" i="1"/>
  <c r="M22" i="1" s="1"/>
  <c r="L34" i="1"/>
  <c r="M34" i="1" s="1"/>
  <c r="L46" i="1"/>
  <c r="M46" i="1" s="1"/>
  <c r="L58" i="1"/>
  <c r="M58" i="1" s="1"/>
  <c r="L14" i="1"/>
  <c r="M14" i="1" s="1"/>
  <c r="L26" i="1"/>
  <c r="M26" i="1" s="1"/>
  <c r="L38" i="1"/>
  <c r="M38" i="1" s="1"/>
  <c r="L50" i="1"/>
  <c r="M50" i="1" s="1"/>
  <c r="M6" i="1"/>
  <c r="M30" i="1"/>
  <c r="BN6" i="1"/>
  <c r="BO6" i="1" s="1"/>
  <c r="BP6" i="1" s="1"/>
  <c r="BN89" i="1"/>
  <c r="BO89" i="1" s="1"/>
  <c r="BN88" i="1"/>
  <c r="BO88" i="1" s="1"/>
  <c r="BN87" i="1"/>
  <c r="BO87" i="1" s="1"/>
  <c r="BN86" i="1"/>
  <c r="BO86" i="1" s="1"/>
  <c r="BN85" i="1"/>
  <c r="BO85" i="1" s="1"/>
  <c r="BN84" i="1"/>
  <c r="BO84" i="1" s="1"/>
  <c r="BN83" i="1"/>
  <c r="BO83" i="1" s="1"/>
  <c r="BN82" i="1"/>
  <c r="BO82" i="1" s="1"/>
  <c r="BN81" i="1"/>
  <c r="BO81" i="1" s="1"/>
  <c r="BN80" i="1"/>
  <c r="BO80" i="1" s="1"/>
  <c r="BN79" i="1"/>
  <c r="BO79" i="1" s="1"/>
  <c r="BN78" i="1"/>
  <c r="BO78" i="1" s="1"/>
  <c r="BN77" i="1"/>
  <c r="BO77" i="1" s="1"/>
  <c r="BO76" i="1"/>
  <c r="BP76" i="1" s="1"/>
  <c r="BN75" i="1"/>
  <c r="BO75" i="1" s="1"/>
  <c r="BN74" i="1"/>
  <c r="BO74" i="1" s="1"/>
  <c r="BN73" i="1"/>
  <c r="BO73" i="1" s="1"/>
  <c r="BN72" i="1"/>
  <c r="BO72" i="1" s="1"/>
  <c r="BN71" i="1"/>
  <c r="BO71" i="1" s="1"/>
  <c r="BN70" i="1"/>
  <c r="BO70" i="1" s="1"/>
  <c r="BN69" i="1"/>
  <c r="BO69" i="1" s="1"/>
  <c r="BN68" i="1"/>
  <c r="BO68" i="1" s="1"/>
  <c r="BN67" i="1"/>
  <c r="BO67" i="1" s="1"/>
  <c r="BN66" i="1"/>
  <c r="BO66" i="1" s="1"/>
  <c r="BN65" i="1"/>
  <c r="BO65" i="1" s="1"/>
  <c r="BP64" i="1"/>
  <c r="BO61" i="1"/>
  <c r="BN60" i="1"/>
  <c r="BO60" i="1" s="1"/>
  <c r="BN59" i="1"/>
  <c r="BO59" i="1" s="1"/>
  <c r="BN58" i="1"/>
  <c r="BO58" i="1" s="1"/>
  <c r="BN57" i="1"/>
  <c r="BO57" i="1" s="1"/>
  <c r="BN56" i="1"/>
  <c r="BO56" i="1" s="1"/>
  <c r="BN55" i="1"/>
  <c r="BO55" i="1" s="1"/>
  <c r="BP55" i="1" s="1"/>
  <c r="BP54" i="1"/>
  <c r="BN53" i="1"/>
  <c r="BO53" i="1" s="1"/>
  <c r="BP53" i="1" s="1"/>
  <c r="BN52" i="1"/>
  <c r="BO52" i="1" s="1"/>
  <c r="BN51" i="1"/>
  <c r="BO51" i="1" s="1"/>
  <c r="BN50" i="1"/>
  <c r="BO50" i="1" s="1"/>
  <c r="BP50" i="1"/>
  <c r="BN49" i="1"/>
  <c r="BO49" i="1" s="1"/>
  <c r="BP49" i="1" s="1"/>
  <c r="BN48" i="1"/>
  <c r="BO48" i="1" s="1"/>
  <c r="BN47" i="1"/>
  <c r="BO47" i="1" s="1"/>
  <c r="BN46" i="1"/>
  <c r="BO46" i="1" s="1"/>
  <c r="BN45" i="1"/>
  <c r="BO45" i="1" s="1"/>
  <c r="BN44" i="1"/>
  <c r="BO44" i="1" s="1"/>
  <c r="BN43" i="1"/>
  <c r="BO43" i="1" s="1"/>
  <c r="BP43" i="1" s="1"/>
  <c r="BN42" i="1"/>
  <c r="BO42" i="1" s="1"/>
  <c r="BP42" i="1" s="1"/>
  <c r="BN41" i="1"/>
  <c r="BO41" i="1" s="1"/>
  <c r="BN40" i="1"/>
  <c r="BO40" i="1" s="1"/>
  <c r="BN39" i="1"/>
  <c r="BO39" i="1" s="1"/>
  <c r="BN38" i="1"/>
  <c r="BO38" i="1" s="1"/>
  <c r="BO37" i="1"/>
  <c r="BP37" i="1" s="1"/>
  <c r="BN36" i="1"/>
  <c r="BO36" i="1" s="1"/>
  <c r="BN35" i="1"/>
  <c r="BO35" i="1" s="1"/>
  <c r="BN34" i="1"/>
  <c r="BO34" i="1" s="1"/>
  <c r="BP34" i="1"/>
  <c r="BN33" i="1"/>
  <c r="BO33" i="1" s="1"/>
  <c r="BP33" i="1"/>
  <c r="BP32" i="1"/>
  <c r="BN31" i="1"/>
  <c r="BO31" i="1" s="1"/>
  <c r="BP30" i="1"/>
  <c r="BN29" i="1"/>
  <c r="BO29" i="1" s="1"/>
  <c r="BP29" i="1"/>
  <c r="BN28" i="1"/>
  <c r="BO28" i="1" s="1"/>
  <c r="BN27" i="1"/>
  <c r="BO27" i="1" s="1"/>
  <c r="BN26" i="1"/>
  <c r="BO26" i="1" s="1"/>
  <c r="BP26" i="1"/>
  <c r="BN25" i="1"/>
  <c r="BO25" i="1" s="1"/>
  <c r="BN24" i="1"/>
  <c r="BO24" i="1" s="1"/>
  <c r="BN23" i="1"/>
  <c r="BO23" i="1" s="1"/>
  <c r="BP23" i="1" s="1"/>
  <c r="BP22" i="1"/>
  <c r="BN21" i="1"/>
  <c r="BO21" i="1" s="1"/>
  <c r="BN20" i="1"/>
  <c r="BO20" i="1" s="1"/>
  <c r="BN19" i="1"/>
  <c r="BO19" i="1" s="1"/>
  <c r="BN18" i="1"/>
  <c r="BO18" i="1" s="1"/>
  <c r="BN17" i="1"/>
  <c r="BO17" i="1" s="1"/>
  <c r="BN16" i="1"/>
  <c r="BO16" i="1" s="1"/>
  <c r="BN15" i="1"/>
  <c r="BO15" i="1" s="1"/>
  <c r="BP15" i="1" s="1"/>
  <c r="BN12" i="1"/>
  <c r="BO12" i="1" s="1"/>
  <c r="BN11" i="1"/>
  <c r="BO11" i="1" s="1"/>
  <c r="BN10" i="1"/>
  <c r="BO10" i="1" s="1"/>
  <c r="BP10" i="1"/>
  <c r="BN9" i="1"/>
  <c r="BO9" i="1" s="1"/>
  <c r="BN8" i="1"/>
  <c r="BO8" i="1" s="1"/>
  <c r="BN7" i="1"/>
  <c r="BO7" i="1" s="1"/>
  <c r="B6" i="1"/>
  <c r="B7" i="1" s="1"/>
  <c r="B8" i="1" s="1"/>
  <c r="B9" i="1" s="1"/>
  <c r="B10" i="1" s="1"/>
  <c r="B11" i="1" s="1"/>
  <c r="B12" i="1" s="1"/>
  <c r="B15" i="1" s="1"/>
  <c r="B16" i="1" s="1"/>
  <c r="B17" i="1" s="1"/>
  <c r="B18" i="1" s="1"/>
  <c r="B19" i="1" s="1"/>
  <c r="B20" i="1" s="1"/>
  <c r="B21" i="1" s="1"/>
  <c r="B23" i="1" s="1"/>
  <c r="B24" i="1" s="1"/>
  <c r="B25" i="1" s="1"/>
  <c r="B26" i="1" s="1"/>
  <c r="B27" i="1" s="1"/>
  <c r="B28" i="1" s="1"/>
  <c r="B29" i="1" s="1"/>
  <c r="B31" i="1" s="1"/>
  <c r="B33" i="1" s="1"/>
  <c r="B34" i="1" s="1"/>
  <c r="B35" i="1" s="1"/>
  <c r="B36" i="1" s="1"/>
  <c r="B38" i="1" s="1"/>
  <c r="B39" i="1" s="1"/>
  <c r="B40" i="1" s="1"/>
  <c r="B41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5" i="1" s="1"/>
  <c r="B57" i="1" s="1"/>
  <c r="AJ44" i="1" l="1"/>
  <c r="AK44" i="1" s="1"/>
  <c r="AJ32" i="1"/>
  <c r="AK32" i="1" s="1"/>
  <c r="AP14" i="1"/>
  <c r="AQ14" i="1" s="1"/>
  <c r="AJ61" i="1"/>
  <c r="AK61" i="1"/>
  <c r="AP7" i="1"/>
  <c r="AQ7" i="1" s="1"/>
  <c r="AJ36" i="1"/>
  <c r="AK36" i="1" s="1"/>
  <c r="AP24" i="1"/>
  <c r="AQ24" i="1" s="1"/>
  <c r="AP47" i="1"/>
  <c r="AQ47" i="1"/>
  <c r="AJ59" i="1"/>
  <c r="AK59" i="1" s="1"/>
  <c r="AP34" i="1"/>
  <c r="AQ34" i="1"/>
  <c r="AP10" i="1"/>
  <c r="AQ10" i="1" s="1"/>
  <c r="AJ45" i="1"/>
  <c r="AK45" i="1"/>
  <c r="AJ9" i="1"/>
  <c r="AK9" i="1"/>
  <c r="AJ26" i="1"/>
  <c r="AK26" i="1"/>
  <c r="AJ48" i="1"/>
  <c r="AK48" i="1"/>
  <c r="AP18" i="1"/>
  <c r="AQ18" i="1" s="1"/>
  <c r="AJ6" i="1"/>
  <c r="AK6" i="1"/>
  <c r="AJ58" i="1"/>
  <c r="AK58" i="1" s="1"/>
  <c r="AJ46" i="1"/>
  <c r="AK46" i="1" s="1"/>
  <c r="AP33" i="1"/>
  <c r="AQ33" i="1" s="1"/>
  <c r="AP26" i="1"/>
  <c r="AQ26" i="1" s="1"/>
  <c r="AJ8" i="1"/>
  <c r="AK8" i="1" s="1"/>
  <c r="AJ43" i="1"/>
  <c r="AK43" i="1"/>
  <c r="AP31" i="1"/>
  <c r="AQ31" i="1" s="1"/>
  <c r="AJ60" i="1"/>
  <c r="AK60" i="1" s="1"/>
  <c r="AP48" i="1"/>
  <c r="AQ48" i="1"/>
  <c r="AJ30" i="1"/>
  <c r="AK30" i="1" s="1"/>
  <c r="AP46" i="1"/>
  <c r="AQ46" i="1" s="1"/>
  <c r="AP11" i="1"/>
  <c r="AQ11" i="1"/>
  <c r="AJ38" i="1"/>
  <c r="AK38" i="1"/>
  <c r="AP20" i="1"/>
  <c r="AQ20" i="1" s="1"/>
  <c r="AP43" i="1"/>
  <c r="AQ43" i="1" s="1"/>
  <c r="AP25" i="1"/>
  <c r="AQ25" i="1" s="1"/>
  <c r="AJ13" i="1"/>
  <c r="AK13" i="1"/>
  <c r="AP60" i="1"/>
  <c r="AQ60" i="1" s="1"/>
  <c r="AP42" i="1"/>
  <c r="AQ42" i="1"/>
  <c r="AJ35" i="1"/>
  <c r="AK35" i="1" s="1"/>
  <c r="AP17" i="1"/>
  <c r="AQ17" i="1"/>
  <c r="AP40" i="1"/>
  <c r="AQ40" i="1"/>
  <c r="AJ28" i="1"/>
  <c r="AK28" i="1"/>
  <c r="AJ39" i="1"/>
  <c r="AK39" i="1"/>
  <c r="AJ27" i="1"/>
  <c r="AK27" i="1"/>
  <c r="AJ11" i="1"/>
  <c r="AK11" i="1" s="1"/>
  <c r="AP38" i="1"/>
  <c r="AQ38" i="1" s="1"/>
  <c r="AJ20" i="1"/>
  <c r="AK20" i="1"/>
  <c r="AJ37" i="1"/>
  <c r="AK37" i="1"/>
  <c r="AJ25" i="1"/>
  <c r="AK25" i="1"/>
  <c r="AP13" i="1"/>
  <c r="AQ13" i="1"/>
  <c r="AP54" i="1"/>
  <c r="AQ54" i="1" s="1"/>
  <c r="AJ42" i="1"/>
  <c r="AK42" i="1"/>
  <c r="AJ12" i="1"/>
  <c r="AK12" i="1"/>
  <c r="AP53" i="1"/>
  <c r="AQ53" i="1"/>
  <c r="AJ40" i="1"/>
  <c r="AK40" i="1"/>
  <c r="AP51" i="1"/>
  <c r="AQ51" i="1" s="1"/>
  <c r="AP15" i="1"/>
  <c r="AQ15" i="1" s="1"/>
  <c r="AP50" i="1"/>
  <c r="AQ50" i="1" s="1"/>
  <c r="AP32" i="1"/>
  <c r="AQ32" i="1" s="1"/>
  <c r="AJ14" i="1"/>
  <c r="AK14" i="1"/>
  <c r="AP61" i="1"/>
  <c r="AQ61" i="1" s="1"/>
  <c r="AP49" i="1"/>
  <c r="AQ49" i="1"/>
  <c r="AP37" i="1"/>
  <c r="AQ37" i="1" s="1"/>
  <c r="AJ7" i="1"/>
  <c r="AK7" i="1"/>
  <c r="AJ24" i="1"/>
  <c r="AK24" i="1"/>
  <c r="AP12" i="1"/>
  <c r="AQ12" i="1"/>
  <c r="AJ53" i="1"/>
  <c r="AK53" i="1" s="1"/>
  <c r="AP59" i="1"/>
  <c r="AQ59" i="1"/>
  <c r="AJ52" i="1"/>
  <c r="AK52" i="1"/>
  <c r="AJ34" i="1"/>
  <c r="AK34" i="1"/>
  <c r="AJ22" i="1"/>
  <c r="AK22" i="1" s="1"/>
  <c r="AJ10" i="1"/>
  <c r="AK10" i="1"/>
  <c r="AJ57" i="1"/>
  <c r="AK57" i="1"/>
  <c r="AJ21" i="1"/>
  <c r="AK21" i="1"/>
  <c r="BP21" i="1"/>
  <c r="P35" i="1"/>
  <c r="P16" i="1"/>
  <c r="R16" i="1" s="1"/>
  <c r="S16" i="1" s="1"/>
  <c r="AJ54" i="1"/>
  <c r="AK54" i="1" s="1"/>
  <c r="AJ18" i="1"/>
  <c r="AK18" i="1" s="1"/>
  <c r="AQ28" i="1"/>
  <c r="AP28" i="1"/>
  <c r="P55" i="1"/>
  <c r="P57" i="1"/>
  <c r="P29" i="1"/>
  <c r="AP56" i="1"/>
  <c r="AQ56" i="1" s="1"/>
  <c r="AJ55" i="1"/>
  <c r="AK55" i="1"/>
  <c r="AJ19" i="1"/>
  <c r="AK19" i="1"/>
  <c r="AP41" i="1"/>
  <c r="AQ41" i="1"/>
  <c r="AP35" i="1"/>
  <c r="AQ35" i="1"/>
  <c r="AJ17" i="1"/>
  <c r="AK17" i="1" s="1"/>
  <c r="AJ16" i="1"/>
  <c r="AK16" i="1"/>
  <c r="AJ51" i="1"/>
  <c r="AK51" i="1" s="1"/>
  <c r="AP39" i="1"/>
  <c r="AQ39" i="1" s="1"/>
  <c r="AJ33" i="1"/>
  <c r="AK33" i="1"/>
  <c r="AJ15" i="1"/>
  <c r="AK15" i="1" s="1"/>
  <c r="BP12" i="1"/>
  <c r="BP45" i="1"/>
  <c r="BP80" i="1"/>
  <c r="BP86" i="1"/>
  <c r="P51" i="1"/>
  <c r="R51" i="1" s="1"/>
  <c r="S51" i="1" s="1"/>
  <c r="P39" i="1"/>
  <c r="AP55" i="1"/>
  <c r="AQ55" i="1" s="1"/>
  <c r="AP19" i="1"/>
  <c r="AQ19" i="1" s="1"/>
  <c r="AP52" i="1"/>
  <c r="AQ52" i="1"/>
  <c r="AP16" i="1"/>
  <c r="AQ16" i="1"/>
  <c r="AP57" i="1"/>
  <c r="AQ57" i="1" s="1"/>
  <c r="AP21" i="1"/>
  <c r="AQ21" i="1" s="1"/>
  <c r="AJ56" i="1"/>
  <c r="AK56" i="1"/>
  <c r="AP8" i="1"/>
  <c r="AQ8" i="1" s="1"/>
  <c r="AJ31" i="1"/>
  <c r="AK31" i="1"/>
  <c r="AP6" i="1"/>
  <c r="AQ6" i="1"/>
  <c r="AJ41" i="1"/>
  <c r="AK41" i="1" s="1"/>
  <c r="AP29" i="1"/>
  <c r="AQ29" i="1"/>
  <c r="AP22" i="1"/>
  <c r="AQ22" i="1"/>
  <c r="AJ23" i="1"/>
  <c r="AK23" i="1" s="1"/>
  <c r="AP45" i="1"/>
  <c r="AQ45" i="1" s="1"/>
  <c r="AP27" i="1"/>
  <c r="AQ27" i="1" s="1"/>
  <c r="AP9" i="1"/>
  <c r="AQ9" i="1" s="1"/>
  <c r="AJ50" i="1"/>
  <c r="AK50" i="1"/>
  <c r="AP44" i="1"/>
  <c r="AQ44" i="1" s="1"/>
  <c r="AJ49" i="1"/>
  <c r="AK49" i="1"/>
  <c r="AP36" i="1"/>
  <c r="AQ36" i="1" s="1"/>
  <c r="AP30" i="1"/>
  <c r="AQ30" i="1" s="1"/>
  <c r="AJ47" i="1"/>
  <c r="AK47" i="1" s="1"/>
  <c r="AJ29" i="1"/>
  <c r="AK29" i="1" s="1"/>
  <c r="AP58" i="1"/>
  <c r="AQ58" i="1"/>
  <c r="AP23" i="1"/>
  <c r="AQ23" i="1"/>
  <c r="X47" i="1"/>
  <c r="Y47" i="1"/>
  <c r="X9" i="1"/>
  <c r="Y9" i="1" s="1"/>
  <c r="X19" i="1"/>
  <c r="Y19" i="1" s="1"/>
  <c r="AD47" i="1"/>
  <c r="AE47" i="1" s="1"/>
  <c r="AD23" i="1"/>
  <c r="AE23" i="1" s="1"/>
  <c r="AD9" i="1"/>
  <c r="AE9" i="1"/>
  <c r="X57" i="1"/>
  <c r="Y57" i="1" s="1"/>
  <c r="X21" i="1"/>
  <c r="Y21" i="1" s="1"/>
  <c r="X34" i="1"/>
  <c r="Y34" i="1" s="1"/>
  <c r="X60" i="1"/>
  <c r="Y60" i="1" s="1"/>
  <c r="AD38" i="1"/>
  <c r="AE38" i="1"/>
  <c r="AD29" i="1"/>
  <c r="AE29" i="1" s="1"/>
  <c r="AD40" i="1"/>
  <c r="AE40" i="1" s="1"/>
  <c r="AD39" i="1"/>
  <c r="AE39" i="1"/>
  <c r="X40" i="1"/>
  <c r="Y40" i="1" s="1"/>
  <c r="AD20" i="1"/>
  <c r="AE20" i="1" s="1"/>
  <c r="AD49" i="1"/>
  <c r="AE49" i="1" s="1"/>
  <c r="AD37" i="1"/>
  <c r="AE37" i="1" s="1"/>
  <c r="AD42" i="1"/>
  <c r="AE42" i="1" s="1"/>
  <c r="X35" i="1"/>
  <c r="Y35" i="1"/>
  <c r="AD57" i="1"/>
  <c r="AE57" i="1"/>
  <c r="AD33" i="1"/>
  <c r="AE33" i="1"/>
  <c r="AD11" i="1"/>
  <c r="AE11" i="1" s="1"/>
  <c r="X7" i="1"/>
  <c r="Y7" i="1" s="1"/>
  <c r="X10" i="1"/>
  <c r="Y10" i="1" s="1"/>
  <c r="AD7" i="1"/>
  <c r="AE7" i="1" s="1"/>
  <c r="AD54" i="1"/>
  <c r="AE54" i="1" s="1"/>
  <c r="AD53" i="1"/>
  <c r="AE53" i="1" s="1"/>
  <c r="AD35" i="1"/>
  <c r="AE35" i="1" s="1"/>
  <c r="AD16" i="1"/>
  <c r="AE16" i="1" s="1"/>
  <c r="AD27" i="1"/>
  <c r="AE27" i="1" s="1"/>
  <c r="AD14" i="1"/>
  <c r="AE14" i="1" s="1"/>
  <c r="X36" i="1"/>
  <c r="Y36" i="1" s="1"/>
  <c r="AD52" i="1"/>
  <c r="AE52" i="1" s="1"/>
  <c r="AD28" i="1"/>
  <c r="AE28" i="1" s="1"/>
  <c r="AD51" i="1"/>
  <c r="AE51" i="1" s="1"/>
  <c r="AD21" i="1"/>
  <c r="AE21" i="1" s="1"/>
  <c r="AD44" i="1"/>
  <c r="AE44" i="1" s="1"/>
  <c r="AD19" i="1"/>
  <c r="AE19" i="1" s="1"/>
  <c r="AD30" i="1"/>
  <c r="AE30" i="1" s="1"/>
  <c r="AD18" i="1"/>
  <c r="AE18" i="1" s="1"/>
  <c r="AD6" i="1"/>
  <c r="AE6" i="1" s="1"/>
  <c r="AD59" i="1"/>
  <c r="AE59" i="1" s="1"/>
  <c r="AD45" i="1"/>
  <c r="AE45" i="1"/>
  <c r="AD15" i="1"/>
  <c r="AE15" i="1"/>
  <c r="P49" i="1"/>
  <c r="U49" i="1"/>
  <c r="V49" i="1" s="1"/>
  <c r="P15" i="1"/>
  <c r="U15" i="1"/>
  <c r="V15" i="1" s="1"/>
  <c r="P26" i="1"/>
  <c r="U26" i="1"/>
  <c r="V26" i="1" s="1"/>
  <c r="U8" i="1"/>
  <c r="V8" i="1" s="1"/>
  <c r="P8" i="1"/>
  <c r="X61" i="1"/>
  <c r="Y61" i="1" s="1"/>
  <c r="X31" i="1"/>
  <c r="Y31" i="1" s="1"/>
  <c r="X48" i="1"/>
  <c r="Y48" i="1" s="1"/>
  <c r="X12" i="1"/>
  <c r="Y12" i="1" s="1"/>
  <c r="P58" i="1"/>
  <c r="R58" i="1" s="1"/>
  <c r="S58" i="1" s="1"/>
  <c r="U58" i="1"/>
  <c r="V58" i="1" s="1"/>
  <c r="BP52" i="1"/>
  <c r="BP65" i="1"/>
  <c r="P31" i="1"/>
  <c r="P60" i="1"/>
  <c r="P28" i="1"/>
  <c r="R28" i="1" s="1"/>
  <c r="S28" i="1" s="1"/>
  <c r="U28" i="1"/>
  <c r="V28" i="1" s="1"/>
  <c r="P33" i="1"/>
  <c r="R33" i="1" s="1"/>
  <c r="S33" i="1" s="1"/>
  <c r="U33" i="1"/>
  <c r="V33" i="1" s="1"/>
  <c r="P10" i="1"/>
  <c r="R10" i="1" s="1"/>
  <c r="S10" i="1" s="1"/>
  <c r="U44" i="1"/>
  <c r="V44" i="1" s="1"/>
  <c r="P44" i="1"/>
  <c r="X24" i="1"/>
  <c r="Y24" i="1" s="1"/>
  <c r="P23" i="1"/>
  <c r="R23" i="1" s="1"/>
  <c r="U23" i="1"/>
  <c r="V23" i="1" s="1"/>
  <c r="P45" i="1"/>
  <c r="U45" i="1"/>
  <c r="V45" i="1" s="1"/>
  <c r="AD50" i="1"/>
  <c r="AE50" i="1" s="1"/>
  <c r="AD32" i="1"/>
  <c r="AE32" i="1" s="1"/>
  <c r="U14" i="1"/>
  <c r="V14" i="1" s="1"/>
  <c r="P14" i="1"/>
  <c r="R14" i="1" s="1"/>
  <c r="S14" i="1" s="1"/>
  <c r="AD55" i="1"/>
  <c r="AE55" i="1" s="1"/>
  <c r="Y37" i="1"/>
  <c r="X37" i="1"/>
  <c r="AD25" i="1"/>
  <c r="AE25" i="1" s="1"/>
  <c r="AD60" i="1"/>
  <c r="AE60" i="1" s="1"/>
  <c r="AE48" i="1"/>
  <c r="AD48" i="1"/>
  <c r="AD36" i="1"/>
  <c r="AE36" i="1" s="1"/>
  <c r="AD24" i="1"/>
  <c r="AE24" i="1" s="1"/>
  <c r="AE12" i="1"/>
  <c r="AD12" i="1"/>
  <c r="AD41" i="1"/>
  <c r="AE41" i="1" s="1"/>
  <c r="AD17" i="1"/>
  <c r="AE17" i="1" s="1"/>
  <c r="Y16" i="1"/>
  <c r="X16" i="1"/>
  <c r="X51" i="1"/>
  <c r="Y51" i="1" s="1"/>
  <c r="X39" i="1"/>
  <c r="Y39" i="1" s="1"/>
  <c r="X11" i="1"/>
  <c r="Y11" i="1" s="1"/>
  <c r="BP69" i="1"/>
  <c r="P13" i="1"/>
  <c r="U13" i="1"/>
  <c r="V13" i="1" s="1"/>
  <c r="P21" i="1"/>
  <c r="P46" i="1"/>
  <c r="R46" i="1" s="1"/>
  <c r="U46" i="1"/>
  <c r="V46" i="1" s="1"/>
  <c r="P40" i="1"/>
  <c r="R29" i="1"/>
  <c r="S29" i="1" s="1"/>
  <c r="AD56" i="1"/>
  <c r="AE56" i="1"/>
  <c r="P50" i="1"/>
  <c r="U50" i="1"/>
  <c r="V50" i="1" s="1"/>
  <c r="P17" i="1"/>
  <c r="U17" i="1"/>
  <c r="V17" i="1" s="1"/>
  <c r="X55" i="1"/>
  <c r="Y55" i="1" s="1"/>
  <c r="AD43" i="1"/>
  <c r="AE43" i="1" s="1"/>
  <c r="X25" i="1"/>
  <c r="Y25" i="1" s="1"/>
  <c r="X54" i="1"/>
  <c r="Y54" i="1" s="1"/>
  <c r="X42" i="1"/>
  <c r="Y42" i="1" s="1"/>
  <c r="X18" i="1"/>
  <c r="Y18" i="1" s="1"/>
  <c r="X29" i="1"/>
  <c r="Y29" i="1"/>
  <c r="AD58" i="1"/>
  <c r="AE58" i="1" s="1"/>
  <c r="P52" i="1"/>
  <c r="R52" i="1" s="1"/>
  <c r="S52" i="1" s="1"/>
  <c r="U52" i="1"/>
  <c r="V52" i="1" s="1"/>
  <c r="AD26" i="1"/>
  <c r="AE26" i="1"/>
  <c r="P20" i="1"/>
  <c r="U20" i="1"/>
  <c r="V20" i="1" s="1"/>
  <c r="AD8" i="1"/>
  <c r="AE8" i="1" s="1"/>
  <c r="X43" i="1"/>
  <c r="Y43" i="1" s="1"/>
  <c r="AD13" i="1"/>
  <c r="AE13" i="1" s="1"/>
  <c r="P53" i="1"/>
  <c r="U53" i="1"/>
  <c r="V53" i="1" s="1"/>
  <c r="X30" i="1"/>
  <c r="Y30" i="1" s="1"/>
  <c r="P6" i="1"/>
  <c r="AD46" i="1"/>
  <c r="AE46" i="1" s="1"/>
  <c r="AD34" i="1"/>
  <c r="AE34" i="1"/>
  <c r="AD22" i="1"/>
  <c r="AE22" i="1" s="1"/>
  <c r="AD10" i="1"/>
  <c r="AE10" i="1" s="1"/>
  <c r="BP67" i="1"/>
  <c r="P59" i="1"/>
  <c r="R59" i="1" s="1"/>
  <c r="S59" i="1" s="1"/>
  <c r="U59" i="1"/>
  <c r="V59" i="1" s="1"/>
  <c r="P32" i="1"/>
  <c r="U32" i="1"/>
  <c r="V32" i="1" s="1"/>
  <c r="P7" i="1"/>
  <c r="P27" i="1"/>
  <c r="U27" i="1"/>
  <c r="V27" i="1" s="1"/>
  <c r="P34" i="1"/>
  <c r="R34" i="1" s="1"/>
  <c r="S34" i="1" s="1"/>
  <c r="U41" i="1"/>
  <c r="V41" i="1" s="1"/>
  <c r="P41" i="1"/>
  <c r="P56" i="1"/>
  <c r="U56" i="1"/>
  <c r="V56" i="1" s="1"/>
  <c r="U38" i="1"/>
  <c r="V38" i="1" s="1"/>
  <c r="P38" i="1"/>
  <c r="AD61" i="1"/>
  <c r="AE61" i="1" s="1"/>
  <c r="AD31" i="1"/>
  <c r="AE31" i="1" s="1"/>
  <c r="X22" i="1"/>
  <c r="Y22" i="1" s="1"/>
  <c r="R15" i="1"/>
  <c r="S15" i="1" s="1"/>
  <c r="R13" i="1"/>
  <c r="R45" i="1"/>
  <c r="S45" i="1" s="1"/>
  <c r="R49" i="1"/>
  <c r="S49" i="1" s="1"/>
  <c r="R27" i="1"/>
  <c r="S27" i="1" s="1"/>
  <c r="R31" i="1"/>
  <c r="S31" i="1" s="1"/>
  <c r="R25" i="1"/>
  <c r="S25" i="1" s="1"/>
  <c r="BP73" i="1"/>
  <c r="R47" i="1"/>
  <c r="S47" i="1" s="1"/>
  <c r="R60" i="1"/>
  <c r="S60" i="1" s="1"/>
  <c r="R42" i="1"/>
  <c r="S42" i="1" s="1"/>
  <c r="R24" i="1"/>
  <c r="S24" i="1" s="1"/>
  <c r="R6" i="1"/>
  <c r="S6" i="1" s="1"/>
  <c r="R39" i="1"/>
  <c r="S39" i="1" s="1"/>
  <c r="R9" i="1"/>
  <c r="S9" i="1" s="1"/>
  <c r="R11" i="1"/>
  <c r="S11" i="1" s="1"/>
  <c r="R61" i="1"/>
  <c r="S61" i="1" s="1"/>
  <c r="R43" i="1"/>
  <c r="S43" i="1" s="1"/>
  <c r="R19" i="1"/>
  <c r="S19" i="1" s="1"/>
  <c r="BP19" i="1"/>
  <c r="BP57" i="1"/>
  <c r="R32" i="1"/>
  <c r="S32" i="1" s="1"/>
  <c r="R37" i="1"/>
  <c r="S37" i="1"/>
  <c r="R35" i="1"/>
  <c r="S35" i="1" s="1"/>
  <c r="R54" i="1"/>
  <c r="S54" i="1" s="1"/>
  <c r="R36" i="1"/>
  <c r="S36" i="1" s="1"/>
  <c r="R18" i="1"/>
  <c r="S18" i="1" s="1"/>
  <c r="R40" i="1"/>
  <c r="S40" i="1" s="1"/>
  <c r="R55" i="1"/>
  <c r="S55" i="1" s="1"/>
  <c r="R57" i="1"/>
  <c r="S57" i="1" s="1"/>
  <c r="R22" i="1"/>
  <c r="S22" i="1" s="1"/>
  <c r="BP17" i="1"/>
  <c r="BP88" i="1"/>
  <c r="R48" i="1"/>
  <c r="S48" i="1" s="1"/>
  <c r="R30" i="1"/>
  <c r="S30" i="1" s="1"/>
  <c r="R12" i="1"/>
  <c r="S12" i="1" s="1"/>
  <c r="BP8" i="1"/>
  <c r="BP39" i="1"/>
  <c r="BP36" i="1"/>
  <c r="BP48" i="1"/>
  <c r="BP89" i="1"/>
  <c r="BP46" i="1"/>
  <c r="BP16" i="1"/>
  <c r="BP56" i="1"/>
  <c r="BP85" i="1"/>
  <c r="BP82" i="1"/>
  <c r="BP68" i="1"/>
  <c r="BP35" i="1"/>
  <c r="BP47" i="1"/>
  <c r="BP59" i="1"/>
  <c r="BP81" i="1"/>
  <c r="BP9" i="1"/>
  <c r="BP28" i="1"/>
  <c r="BP72" i="1"/>
  <c r="BP79" i="1"/>
  <c r="BP7" i="1"/>
  <c r="BP38" i="1"/>
  <c r="BP83" i="1"/>
  <c r="BP18" i="1"/>
  <c r="BP20" i="1"/>
  <c r="BP74" i="1"/>
  <c r="BP84" i="1"/>
  <c r="BP11" i="1"/>
  <c r="BP40" i="1"/>
  <c r="BP51" i="1"/>
  <c r="BP66" i="1"/>
  <c r="BP75" i="1"/>
  <c r="BP77" i="1"/>
  <c r="BP87" i="1"/>
  <c r="BP25" i="1"/>
  <c r="BP27" i="1"/>
  <c r="BP41" i="1"/>
  <c r="BP44" i="1"/>
  <c r="BP58" i="1"/>
  <c r="BP24" i="1"/>
  <c r="BP60" i="1"/>
  <c r="BP70" i="1"/>
  <c r="B58" i="1"/>
  <c r="B59" i="1"/>
  <c r="B60" i="1" s="1"/>
  <c r="B61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P31" i="1"/>
  <c r="BP61" i="1"/>
  <c r="BP71" i="1"/>
  <c r="BP78" i="1"/>
  <c r="X38" i="1" l="1"/>
  <c r="Y38" i="1"/>
  <c r="X56" i="1"/>
  <c r="Y56" i="1" s="1"/>
  <c r="X53" i="1"/>
  <c r="Y53" i="1" s="1"/>
  <c r="X52" i="1"/>
  <c r="Y52" i="1" s="1"/>
  <c r="X17" i="1"/>
  <c r="Y17" i="1"/>
  <c r="Y13" i="1"/>
  <c r="X13" i="1"/>
  <c r="X28" i="1"/>
  <c r="Y28" i="1" s="1"/>
  <c r="X58" i="1"/>
  <c r="Y58" i="1" s="1"/>
  <c r="X26" i="1"/>
  <c r="Y26" i="1" s="1"/>
  <c r="R21" i="1"/>
  <c r="S21" i="1" s="1"/>
  <c r="R56" i="1"/>
  <c r="S56" i="1" s="1"/>
  <c r="R53" i="1"/>
  <c r="S53" i="1"/>
  <c r="R17" i="1"/>
  <c r="S17" i="1" s="1"/>
  <c r="X45" i="1"/>
  <c r="Y45" i="1" s="1"/>
  <c r="R44" i="1"/>
  <c r="S44" i="1" s="1"/>
  <c r="R26" i="1"/>
  <c r="S26" i="1"/>
  <c r="R7" i="1"/>
  <c r="S7" i="1" s="1"/>
  <c r="S23" i="1"/>
  <c r="S46" i="1"/>
  <c r="R41" i="1"/>
  <c r="S41" i="1" s="1"/>
  <c r="X32" i="1"/>
  <c r="Y32" i="1"/>
  <c r="X20" i="1"/>
  <c r="Y20" i="1"/>
  <c r="X50" i="1"/>
  <c r="Y50" i="1" s="1"/>
  <c r="X14" i="1"/>
  <c r="Y14" i="1"/>
  <c r="X44" i="1"/>
  <c r="Y44" i="1"/>
  <c r="X15" i="1"/>
  <c r="Y15" i="1" s="1"/>
  <c r="X41" i="1"/>
  <c r="Y41" i="1"/>
  <c r="R20" i="1"/>
  <c r="S20" i="1"/>
  <c r="R50" i="1"/>
  <c r="S50" i="1" s="1"/>
  <c r="X46" i="1"/>
  <c r="Y46" i="1" s="1"/>
  <c r="X23" i="1"/>
  <c r="Y23" i="1"/>
  <c r="R38" i="1"/>
  <c r="S38" i="1" s="1"/>
  <c r="X59" i="1"/>
  <c r="Y59" i="1"/>
  <c r="X33" i="1"/>
  <c r="Y33" i="1" s="1"/>
  <c r="R8" i="1"/>
  <c r="S8" i="1" s="1"/>
  <c r="X49" i="1"/>
  <c r="Y49" i="1" s="1"/>
  <c r="X8" i="1"/>
  <c r="Y8" i="1"/>
  <c r="Y27" i="1"/>
  <c r="X27" i="1"/>
</calcChain>
</file>

<file path=xl/sharedStrings.xml><?xml version="1.0" encoding="utf-8"?>
<sst xmlns="http://schemas.openxmlformats.org/spreadsheetml/2006/main" count="156" uniqueCount="101">
  <si>
    <t>S.No</t>
  </si>
  <si>
    <t>Product Name</t>
  </si>
  <si>
    <t>21MM</t>
  </si>
  <si>
    <t>25MM</t>
  </si>
  <si>
    <t>Total Qty</t>
  </si>
  <si>
    <t>GST 5%</t>
  </si>
  <si>
    <t>Rate</t>
  </si>
  <si>
    <t>Grand Total</t>
  </si>
  <si>
    <t>Flexer Engine Used</t>
  </si>
  <si>
    <t>Flexer EU 19mm MX</t>
  </si>
  <si>
    <t>Flexer EU M1  #19 0.04</t>
  </si>
  <si>
    <t>Flexer EU M2 #18 0.02</t>
  </si>
  <si>
    <t>Flexer EU C1  #20 0.04</t>
  </si>
  <si>
    <t>Flexer EU C2 #20 0.07</t>
  </si>
  <si>
    <t>Flexer EU C3  #25 0.08</t>
  </si>
  <si>
    <t>Flexer EU MX-C3</t>
  </si>
  <si>
    <t>Flexer Hybrid</t>
  </si>
  <si>
    <t>Flexer EU-H1 #15 0.06</t>
  </si>
  <si>
    <t>Flexer EU-H2 #20 0.06</t>
  </si>
  <si>
    <t>Flexer EU-H3 #25 0.06</t>
  </si>
  <si>
    <t>Flexer EU-H4 #30 0.06</t>
  </si>
  <si>
    <t>Flexer EU-H5 #35 0.06</t>
  </si>
  <si>
    <t>Flexer EU-H6 #40 0.06</t>
  </si>
  <si>
    <t xml:space="preserve">Flexer EU-H1-H6    </t>
  </si>
  <si>
    <t>Flexer EU-H1 #15 0.04</t>
  </si>
  <si>
    <t>Flexer EU-H2 #20 0.04</t>
  </si>
  <si>
    <t>Flexer EU-H3 #25 0.04</t>
  </si>
  <si>
    <t>Flexer EU-H4 #30 0.04</t>
  </si>
  <si>
    <t>Flexer EU-H5 #35 0.04</t>
  </si>
  <si>
    <t>Flexer EU-H6 #40 0.04</t>
  </si>
  <si>
    <t>Flexer EU-H1-H6</t>
  </si>
  <si>
    <t>Flexer Path file</t>
  </si>
  <si>
    <t>Flexer path file p1-p3</t>
  </si>
  <si>
    <t>Flexer Trio</t>
  </si>
  <si>
    <t>Flexer EU-T1  #17 0.04</t>
  </si>
  <si>
    <t>Flexer EU-T2 #25 0.06</t>
  </si>
  <si>
    <t>Flexer EU-T3 #30 0.07</t>
  </si>
  <si>
    <t xml:space="preserve">Flexer EU-T1-T3 </t>
  </si>
  <si>
    <t>Flexer PEDO (K-Files)</t>
  </si>
  <si>
    <t>Flexer K-16mm #15</t>
  </si>
  <si>
    <t>Flexer K-16mm #20</t>
  </si>
  <si>
    <t>Flexer K-16mm #25</t>
  </si>
  <si>
    <t>Flexer K-16mm #15-25</t>
  </si>
  <si>
    <t xml:space="preserve">                                        Flexer Pro </t>
  </si>
  <si>
    <t>Flexer EU-Px #19  0.04</t>
  </si>
  <si>
    <t>Flexer EU-P1 #16 0.04</t>
  </si>
  <si>
    <t>Flexer EU-P2 #20 0.04</t>
  </si>
  <si>
    <t>Flexer EU-P3 #20 0.06</t>
  </si>
  <si>
    <t>Flexer EU-P4 #25 0.07</t>
  </si>
  <si>
    <t>Flexer EU-Px -P4</t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</si>
  <si>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 xml:space="preserve">                Flexer Pro Recore </t>
    </r>
  </si>
  <si>
    <t>Flexer EU R1 #30 0.09</t>
  </si>
  <si>
    <t>Flexer EU R2 #25 0.08</t>
  </si>
  <si>
    <t>Flexer EU R3 #20 0.07</t>
  </si>
  <si>
    <t>Flexer EU R1-R3</t>
  </si>
  <si>
    <t>Flexer Engine Used(Dual Color)</t>
  </si>
  <si>
    <t>MD K-Files NiTi</t>
  </si>
  <si>
    <t>MD K-Files NiTi #6</t>
  </si>
  <si>
    <t>MD K-Files NiTi #8</t>
  </si>
  <si>
    <t>MD K-Files NiTi #10</t>
  </si>
  <si>
    <t>MD K-Files NiTi #15</t>
  </si>
  <si>
    <t>MD K-Files NiTi #20</t>
  </si>
  <si>
    <t>MD K-Files NiTi #25</t>
  </si>
  <si>
    <t>MD K-Files NiTi #30</t>
  </si>
  <si>
    <t>MD K-Files NiTi #35</t>
  </si>
  <si>
    <t>MD K-Files NiTi #40</t>
  </si>
  <si>
    <t>MD K-Files NiTi #(15-40)</t>
  </si>
  <si>
    <t>MD K-Files NiTi #(45-80)</t>
  </si>
  <si>
    <t>MD K-Files Stainless Steel</t>
  </si>
  <si>
    <t>MD K-Files SS #6</t>
  </si>
  <si>
    <t>MD K-Files SS #8</t>
  </si>
  <si>
    <t>MD K-Files SS #10</t>
  </si>
  <si>
    <t>MD K-Files SS #15</t>
  </si>
  <si>
    <t>MD K-Files SS #20</t>
  </si>
  <si>
    <t>MD K-Files SS #25</t>
  </si>
  <si>
    <t xml:space="preserve">MD K-Files SS #30 </t>
  </si>
  <si>
    <t xml:space="preserve">MD K-Files SS #35 </t>
  </si>
  <si>
    <t xml:space="preserve">MD K-Files SS #40 </t>
  </si>
  <si>
    <t xml:space="preserve">MD K-Files SS #55 </t>
  </si>
  <si>
    <t xml:space="preserve">MD K-Files SS #60 </t>
  </si>
  <si>
    <t>MD K-Files SS #(15-40)</t>
  </si>
  <si>
    <t xml:space="preserve">MD K-Files SS #(45-80) </t>
  </si>
  <si>
    <t>Bench Mark</t>
  </si>
  <si>
    <t>Bench Price</t>
  </si>
  <si>
    <t xml:space="preserve">  GST 5%</t>
  </si>
  <si>
    <t>Total Amount Incl of GST</t>
  </si>
  <si>
    <t>85% Market Entry price</t>
  </si>
  <si>
    <t xml:space="preserve">GST </t>
  </si>
  <si>
    <t>Price Without GST</t>
  </si>
  <si>
    <t xml:space="preserve">Amt </t>
  </si>
  <si>
    <t xml:space="preserve">Price Without GST </t>
  </si>
  <si>
    <t>GST</t>
  </si>
  <si>
    <t>GST Amt</t>
  </si>
  <si>
    <t xml:space="preserve">Bench </t>
  </si>
  <si>
    <t xml:space="preserve">Bench Price Without GST </t>
  </si>
  <si>
    <t xml:space="preserve"> Market  14%</t>
  </si>
  <si>
    <t>Mothers Medica  Unit Price to Primaria</t>
  </si>
  <si>
    <t>=D21+E21</t>
  </si>
  <si>
    <t>2</t>
  </si>
  <si>
    <t>Amt</t>
  </si>
  <si>
    <t>Price without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</si>
</sst>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b/>
      <u/>
      <sz val="11"/>
      <color rgb="FF2E75B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49" fontId="3" fillId="0" borderId="1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3" fontId="3" fillId="0" borderId="2" xfId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2" xfId="0" applyBorder="1" applyAlignment="1">
      <alignment horizontal="left" vertical="top" indent="2"/>
    </xf>
    <xf numFmtId="43" fontId="0" fillId="0" borderId="2" xfId="1" applyFont="1" applyBorder="1" applyAlignment="1">
      <alignment horizontal="left" vertical="top" indent="2"/>
    </xf>
    <xf numFmtId="164" fontId="5" fillId="0" borderId="2" xfId="1" applyNumberFormat="1" applyFont="1" applyBorder="1" applyAlignment="1">
      <alignment vertical="top"/>
    </xf>
    <xf numFmtId="43" fontId="6" fillId="0" borderId="3" xfId="1" applyFont="1" applyBorder="1"/>
    <xf numFmtId="0" fontId="7" fillId="0" borderId="1" xfId="0" applyFont="1" applyBorder="1" applyAlignment="1">
      <alignment horizontal="center"/>
    </xf>
    <xf numFmtId="49" fontId="8" fillId="0" borderId="4" xfId="0" applyNumberFormat="1" applyFont="1" applyBorder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6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3" fontId="2" fillId="0" borderId="2" xfId="1" applyFont="1" applyBorder="1" applyAlignment="1">
      <alignment vertical="top"/>
    </xf>
    <xf numFmtId="164" fontId="6" fillId="0" borderId="2" xfId="1" applyNumberFormat="1" applyFont="1" applyBorder="1" applyAlignment="1">
      <alignment vertical="top"/>
    </xf>
    <xf numFmtId="0" fontId="6" fillId="0" borderId="3" xfId="0" applyFont="1" applyBorder="1"/>
    <xf numFmtId="49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2" fillId="0" borderId="2" xfId="0" applyFont="1" applyBorder="1" applyAlignment="1">
      <alignment horizontal="left" vertical="top" indent="2"/>
    </xf>
    <xf numFmtId="43" fontId="2" fillId="0" borderId="2" xfId="1" applyFont="1" applyBorder="1" applyAlignment="1">
      <alignment horizontal="left" vertical="top" indent="2"/>
    </xf>
    <xf numFmtId="49" fontId="2" fillId="0" borderId="2" xfId="0" applyNumberFormat="1" applyFont="1" applyBorder="1" applyAlignment="1">
      <alignment horizontal="left" vertical="top" indent="2"/>
    </xf>
    <xf numFmtId="0" fontId="2" fillId="0" borderId="5" xfId="0" applyFont="1" applyBorder="1" applyAlignment="1">
      <alignment horizontal="left" vertical="top" indent="2"/>
    </xf>
    <xf numFmtId="0" fontId="2" fillId="0" borderId="6" xfId="0" applyFont="1" applyBorder="1" applyAlignment="1">
      <alignment horizontal="left" vertical="top" indent="2"/>
    </xf>
    <xf numFmtId="49" fontId="2" fillId="0" borderId="2" xfId="0" applyNumberFormat="1" applyFont="1" applyBorder="1" applyAlignment="1">
      <alignment horizontal="left" vertical="top" indent="1"/>
    </xf>
    <xf numFmtId="43" fontId="2" fillId="0" borderId="2" xfId="1" applyFont="1" applyBorder="1" applyAlignment="1">
      <alignment horizontal="left" vertical="top" indent="1"/>
    </xf>
    <xf numFmtId="49" fontId="2" fillId="0" borderId="2" xfId="0" applyNumberFormat="1" applyFont="1" applyBorder="1" applyAlignment="1">
      <alignment horizontal="left" vertical="top"/>
    </xf>
    <xf numFmtId="49" fontId="9" fillId="0" borderId="7" xfId="0" applyNumberFormat="1" applyFont="1" applyBorder="1" applyAlignment="1">
      <alignment vertical="top"/>
    </xf>
    <xf numFmtId="0" fontId="10" fillId="0" borderId="8" xfId="0" applyFont="1" applyBorder="1"/>
    <xf numFmtId="0" fontId="10" fillId="0" borderId="9" xfId="0" applyFont="1" applyBorder="1"/>
    <xf numFmtId="49" fontId="11" fillId="0" borderId="4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3" fontId="3" fillId="0" borderId="2" xfId="1" applyFont="1" applyBorder="1" applyAlignment="1">
      <alignment horizontal="center" vertical="top" wrapText="1"/>
    </xf>
    <xf numFmtId="43" fontId="0" fillId="0" borderId="10" xfId="1" applyFont="1" applyBorder="1" applyAlignment="1">
      <alignment horizontal="left" vertical="top" indent="2"/>
    </xf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9" fontId="3" fillId="2" borderId="2" xfId="0" applyNumberFormat="1" applyFont="1" applyFill="1" applyBorder="1" applyAlignment="1">
      <alignment horizontal="center" vertical="top"/>
    </xf>
    <xf numFmtId="9" fontId="0" fillId="2" borderId="0" xfId="0" applyNumberFormat="1" applyFill="1" applyAlignment="1">
      <alignment horizontal="center"/>
    </xf>
    <xf numFmtId="0" fontId="0" fillId="3" borderId="2" xfId="0" applyFill="1" applyBorder="1"/>
    <xf numFmtId="9" fontId="0" fillId="3" borderId="2" xfId="0" applyNumberFormat="1" applyFill="1" applyBorder="1"/>
    <xf numFmtId="9" fontId="0" fillId="4" borderId="2" xfId="0" applyNumberFormat="1" applyFill="1" applyBorder="1"/>
    <xf numFmtId="0" fontId="0" fillId="4" borderId="2" xfId="0" applyFill="1" applyBorder="1"/>
    <xf numFmtId="43" fontId="0" fillId="2" borderId="0" xfId="0" applyNumberFormat="1" applyFill="1"/>
    <xf numFmtId="43" fontId="0" fillId="2" borderId="0" xfId="0" applyNumberFormat="1" applyFill="1" applyAlignment="1">
      <alignment horizontal="center"/>
    </xf>
    <xf numFmtId="43" fontId="0" fillId="2" borderId="0" xfId="0" applyNumberFormat="1" applyFill="1" applyAlignment="1">
      <alignment vertical="center"/>
    </xf>
    <xf numFmtId="9" fontId="0" fillId="5" borderId="2" xfId="0" applyNumberFormat="1" applyFill="1" applyBorder="1"/>
    <xf numFmtId="0" fontId="0" fillId="5" borderId="2" xfId="0" applyFill="1" applyBorder="1"/>
    <xf numFmtId="9" fontId="0" fillId="5" borderId="2" xfId="0" applyNumberFormat="1" applyFill="1" applyBorder="1" applyAlignment="1">
      <alignment horizontal="center"/>
    </xf>
    <xf numFmtId="0" fontId="0" fillId="2" borderId="2" xfId="0" applyFill="1" applyBorder="1"/>
    <xf numFmtId="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top"/>
    </xf>
    <xf numFmtId="9" fontId="0" fillId="6" borderId="2" xfId="0" applyNumberFormat="1" applyFill="1" applyBorder="1"/>
    <xf numFmtId="0" fontId="0" fillId="6" borderId="2" xfId="0" applyFill="1" applyBorder="1"/>
    <xf numFmtId="9" fontId="0" fillId="7" borderId="2" xfId="0" applyNumberFormat="1" applyFill="1" applyBorder="1"/>
    <xf numFmtId="0" fontId="0" fillId="7" borderId="2" xfId="0" applyFill="1" applyBorder="1"/>
    <xf numFmtId="0" fontId="0" fillId="7" borderId="11" xfId="0" applyFill="1" applyBorder="1"/>
    <xf numFmtId="9" fontId="0" fillId="8" borderId="0" xfId="0" applyNumberFormat="1" applyFill="1"/>
    <xf numFmtId="0" fontId="0" fillId="8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89"/>
  <sheetViews>
    <sheetView tabSelected="1" zoomScale="60" zoomScaleNormal="60" workbookViewId="0">
      <selection activeCell="BI6" sqref="BI6:BI61"/>
    </sheetView>
  </sheetViews>
  <sheetFormatPr defaultRowHeight="15" x14ac:dyDescent="0.25"/>
  <cols>
    <col min="3" max="3" width="30.140625" bestFit="1" customWidth="1"/>
    <col min="4" max="4" width="9.140625" bestFit="1" customWidth="1"/>
    <col min="5" max="5" width="9.7109375" bestFit="1" customWidth="1"/>
    <col min="6" max="6" width="15.42578125" bestFit="1" customWidth="1"/>
    <col min="7" max="7" width="30.42578125" bestFit="1" customWidth="1"/>
    <col min="8" max="8" width="17.7109375" style="40" bestFit="1" customWidth="1"/>
    <col min="9" max="9" width="7.7109375" bestFit="1" customWidth="1"/>
    <col min="10" max="10" width="29" style="40" bestFit="1" customWidth="1"/>
    <col min="11" max="11" width="10.42578125" style="40" bestFit="1" customWidth="1"/>
    <col min="12" max="12" width="7.7109375" bestFit="1" customWidth="1"/>
    <col min="13" max="13" width="28.42578125" style="44" bestFit="1" customWidth="1"/>
    <col min="14" max="14" width="24.42578125" bestFit="1" customWidth="1"/>
    <col min="15" max="15" width="9" bestFit="1" customWidth="1"/>
    <col min="16" max="16" width="20.140625" bestFit="1" customWidth="1"/>
    <col min="18" max="18" width="9.7109375" hidden="1" customWidth="1"/>
    <col min="19" max="19" width="29.7109375" customWidth="1"/>
    <col min="20" max="20" width="5.7109375" hidden="1" customWidth="1"/>
    <col min="21" max="21" width="8.85546875" hidden="1" customWidth="1"/>
    <col min="22" max="22" width="20.5703125" bestFit="1" customWidth="1"/>
    <col min="24" max="24" width="9.7109375" hidden="1" customWidth="1"/>
    <col min="25" max="25" width="24.85546875" bestFit="1" customWidth="1"/>
    <col min="26" max="26" width="5.7109375" bestFit="1" customWidth="1"/>
    <col min="27" max="27" width="8.85546875" hidden="1" customWidth="1"/>
    <col min="28" max="28" width="20.5703125" bestFit="1" customWidth="1"/>
    <col min="29" max="29" width="6.140625" bestFit="1" customWidth="1"/>
    <col min="30" max="30" width="10.85546875" hidden="1" customWidth="1"/>
    <col min="31" max="31" width="27.5703125" bestFit="1" customWidth="1"/>
    <col min="32" max="32" width="5.5703125" bestFit="1" customWidth="1"/>
    <col min="33" max="33" width="9" bestFit="1" customWidth="1"/>
    <col min="34" max="34" width="20.5703125" bestFit="1" customWidth="1"/>
    <col min="36" max="36" width="0" hidden="1" customWidth="1"/>
    <col min="37" max="37" width="27.5703125" bestFit="1" customWidth="1"/>
    <col min="40" max="40" width="20.5703125" bestFit="1" customWidth="1"/>
    <col min="42" max="42" width="10.85546875" bestFit="1" customWidth="1"/>
    <col min="43" max="43" width="27.5703125" bestFit="1" customWidth="1"/>
    <col min="46" max="46" width="19.7109375" bestFit="1" customWidth="1"/>
    <col min="49" max="49" width="27.5703125" bestFit="1" customWidth="1"/>
    <col min="52" max="52" width="19.7109375" bestFit="1" customWidth="1"/>
    <col min="55" max="55" width="27.5703125" bestFit="1" customWidth="1"/>
    <col min="56" max="56" width="27.5703125" style="68" customWidth="1"/>
    <col min="57" max="61" width="27.5703125" customWidth="1"/>
    <col min="66" max="66" width="9.28515625" bestFit="1" customWidth="1"/>
    <col min="67" max="67" width="5.42578125" bestFit="1" customWidth="1"/>
    <col min="68" max="68" width="12.5703125" bestFit="1" customWidth="1"/>
  </cols>
  <sheetData>
    <row r="3" spans="2:68" ht="31.5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7" t="s">
        <v>96</v>
      </c>
      <c r="H3" s="46" t="s">
        <v>82</v>
      </c>
      <c r="I3" s="58"/>
      <c r="J3" s="46" t="s">
        <v>83</v>
      </c>
      <c r="K3" s="59" t="s">
        <v>84</v>
      </c>
      <c r="L3" s="58"/>
      <c r="M3" s="60" t="s">
        <v>85</v>
      </c>
      <c r="N3" s="48" t="s">
        <v>86</v>
      </c>
      <c r="O3" s="48"/>
      <c r="P3" s="48" t="s">
        <v>88</v>
      </c>
      <c r="Q3" s="49" t="s">
        <v>87</v>
      </c>
      <c r="R3" s="48"/>
      <c r="S3" s="48" t="s">
        <v>85</v>
      </c>
      <c r="T3" s="50">
        <v>0.84</v>
      </c>
      <c r="U3" s="51" t="s">
        <v>89</v>
      </c>
      <c r="V3" s="51" t="s">
        <v>90</v>
      </c>
      <c r="W3" s="51" t="s">
        <v>91</v>
      </c>
      <c r="X3" s="51" t="s">
        <v>92</v>
      </c>
      <c r="Y3" s="51" t="s">
        <v>85</v>
      </c>
      <c r="Z3" s="49">
        <v>0.83</v>
      </c>
      <c r="AA3" s="48" t="s">
        <v>89</v>
      </c>
      <c r="AB3" s="48" t="s">
        <v>90</v>
      </c>
      <c r="AC3" s="48" t="s">
        <v>91</v>
      </c>
      <c r="AD3" s="48" t="s">
        <v>92</v>
      </c>
      <c r="AE3" s="48" t="s">
        <v>85</v>
      </c>
      <c r="AF3" s="62">
        <v>0.82</v>
      </c>
      <c r="AG3" s="63" t="s">
        <v>89</v>
      </c>
      <c r="AH3" s="63" t="s">
        <v>90</v>
      </c>
      <c r="AI3" s="63" t="s">
        <v>91</v>
      </c>
      <c r="AJ3" s="63" t="s">
        <v>92</v>
      </c>
      <c r="AK3" s="63" t="s">
        <v>85</v>
      </c>
      <c r="AL3" s="64">
        <v>0.76</v>
      </c>
      <c r="AM3" s="65" t="s">
        <v>89</v>
      </c>
      <c r="AN3" s="65" t="s">
        <v>90</v>
      </c>
      <c r="AO3" s="65" t="s">
        <v>91</v>
      </c>
      <c r="AP3" s="65" t="s">
        <v>92</v>
      </c>
      <c r="AQ3" s="65" t="s">
        <v>85</v>
      </c>
      <c r="AR3" s="39">
        <v>0.7</v>
      </c>
      <c r="AS3" s="66" t="s">
        <v>99</v>
      </c>
      <c r="AT3" s="66" t="s">
        <v>100</v>
      </c>
      <c r="AU3" s="65" t="s">
        <v>91</v>
      </c>
      <c r="AW3" s="65" t="s">
        <v>85</v>
      </c>
      <c r="AX3" s="39">
        <v>0.65</v>
      </c>
      <c r="AY3" s="66" t="s">
        <v>99</v>
      </c>
      <c r="AZ3" s="66" t="s">
        <v>100</v>
      </c>
      <c r="BA3" t="s">
        <v>91</v>
      </c>
      <c r="BB3" t="s">
        <v>92</v>
      </c>
      <c r="BC3" t="s">
        <v>85</v>
      </c>
      <c r="BD3" s="67">
        <v>0.35</v>
      </c>
      <c r="BE3" t="s">
        <v>99</v>
      </c>
      <c r="BF3" s="66" t="s">
        <v>100</v>
      </c>
      <c r="BG3" t="s">
        <v>91</v>
      </c>
      <c r="BH3" t="s">
        <v>92</v>
      </c>
      <c r="BI3" t="s">
        <v>85</v>
      </c>
      <c r="BN3" s="3" t="s">
        <v>5</v>
      </c>
      <c r="BO3" s="2" t="s">
        <v>6</v>
      </c>
      <c r="BP3" s="4" t="s">
        <v>7</v>
      </c>
    </row>
    <row r="4" spans="2:68" x14ac:dyDescent="0.25">
      <c r="B4" s="5"/>
      <c r="C4" s="6"/>
      <c r="D4" s="7"/>
      <c r="E4" s="8"/>
      <c r="F4" s="9"/>
      <c r="G4" s="38"/>
      <c r="AR4" s="39">
        <v>0.7</v>
      </c>
      <c r="AX4" s="39">
        <v>0.65</v>
      </c>
      <c r="BD4" s="67">
        <v>0.35</v>
      </c>
      <c r="BN4" s="10"/>
      <c r="BO4" s="11"/>
      <c r="BP4" s="12"/>
    </row>
    <row r="5" spans="2:68" x14ac:dyDescent="0.25">
      <c r="B5" s="13"/>
      <c r="C5" s="14" t="s">
        <v>8</v>
      </c>
      <c r="D5" s="15"/>
      <c r="E5" s="16"/>
      <c r="F5" s="17"/>
      <c r="G5" s="18"/>
      <c r="AR5" s="39">
        <v>0.7</v>
      </c>
      <c r="AX5" s="39">
        <v>0.65</v>
      </c>
      <c r="BD5" s="67">
        <v>0.35</v>
      </c>
      <c r="BE5" s="43"/>
      <c r="BN5" s="18"/>
      <c r="BO5" s="19"/>
      <c r="BP5" s="20"/>
    </row>
    <row r="6" spans="2:68" x14ac:dyDescent="0.25">
      <c r="B6" s="13">
        <f>+B4+1</f>
        <v>1</v>
      </c>
      <c r="C6" s="21" t="s">
        <v>9</v>
      </c>
      <c r="D6" s="22"/>
      <c r="E6" s="23"/>
      <c r="F6" s="24">
        <v>2</v>
      </c>
      <c r="G6" s="25">
        <v>470</v>
      </c>
      <c r="H6" s="41">
        <v>0.21</v>
      </c>
      <c r="I6" s="42">
        <f>G6*H6</f>
        <v>98.7</v>
      </c>
      <c r="J6" s="43">
        <f>G6+I6</f>
        <v>568.70000000000005</v>
      </c>
      <c r="K6" s="41">
        <v>0.05</v>
      </c>
      <c r="L6" s="42">
        <f>J6*K6</f>
        <v>28.435000000000002</v>
      </c>
      <c r="M6" s="45">
        <f>J6+L6</f>
        <v>597.13499999999999</v>
      </c>
      <c r="N6" s="39">
        <v>0.85</v>
      </c>
      <c r="O6" s="42">
        <f>J6*N6</f>
        <v>483.39500000000004</v>
      </c>
      <c r="P6" s="42">
        <f>J6+O6</f>
        <v>1052.095</v>
      </c>
      <c r="Q6" s="39">
        <v>0.05</v>
      </c>
      <c r="R6" s="42">
        <f>P6*Q6</f>
        <v>52.604750000000003</v>
      </c>
      <c r="S6" s="43">
        <f>P6+R6</f>
        <v>1104.69975</v>
      </c>
      <c r="T6" s="39">
        <v>0.84</v>
      </c>
      <c r="U6" s="42">
        <f>O6*T6</f>
        <v>406.05180000000001</v>
      </c>
      <c r="V6" s="42">
        <f>J6+U6</f>
        <v>974.7518</v>
      </c>
      <c r="W6" s="39">
        <v>0.05</v>
      </c>
      <c r="X6" s="42">
        <f>V6*W6</f>
        <v>48.737590000000004</v>
      </c>
      <c r="Y6" s="42">
        <f>V6+X6</f>
        <v>1023.48939</v>
      </c>
      <c r="Z6" s="39">
        <v>0.83</v>
      </c>
      <c r="AA6" s="42">
        <f>J6*Z6</f>
        <v>472.02100000000002</v>
      </c>
      <c r="AB6" s="42">
        <f>J6+AA6</f>
        <v>1040.721</v>
      </c>
      <c r="AC6" s="39">
        <v>0.05</v>
      </c>
      <c r="AD6" s="42">
        <f>AB6*AC6</f>
        <v>52.036050000000003</v>
      </c>
      <c r="AE6" s="42">
        <f>AB6+AD6</f>
        <v>1092.7570499999999</v>
      </c>
      <c r="AF6" s="39">
        <v>0.82</v>
      </c>
      <c r="AG6" s="42">
        <f>J6*AF6</f>
        <v>466.334</v>
      </c>
      <c r="AH6" s="42">
        <f>J6+AG6</f>
        <v>1035.0340000000001</v>
      </c>
      <c r="AI6" s="39">
        <v>0.05</v>
      </c>
      <c r="AJ6" s="42">
        <f>AH6*AI6</f>
        <v>51.751700000000007</v>
      </c>
      <c r="AK6" s="42">
        <f>AH6+AJ6</f>
        <v>1086.7857000000001</v>
      </c>
      <c r="AL6" s="39">
        <v>0.76</v>
      </c>
      <c r="AM6" s="42">
        <f>J6*AL6</f>
        <v>432.21200000000005</v>
      </c>
      <c r="AN6" s="42">
        <f>J6+AM6</f>
        <v>1000.912</v>
      </c>
      <c r="AO6" s="39">
        <v>0.05</v>
      </c>
      <c r="AP6" s="42">
        <f>AN6*AO6</f>
        <v>50.045600000000007</v>
      </c>
      <c r="AQ6" s="42">
        <f>AN6+AP6</f>
        <v>1050.9576</v>
      </c>
      <c r="AR6" s="39">
        <v>0.7</v>
      </c>
      <c r="AS6" s="42">
        <f>J6*AR6</f>
        <v>398.09000000000003</v>
      </c>
      <c r="AT6" s="42">
        <f>J6+AS6</f>
        <v>966.79000000000008</v>
      </c>
      <c r="AU6" s="39">
        <v>0.05</v>
      </c>
      <c r="AV6" s="42">
        <f>AT6*AU6</f>
        <v>48.339500000000008</v>
      </c>
      <c r="AW6" s="42">
        <f>AT6+AV6</f>
        <v>1015.1295000000001</v>
      </c>
      <c r="AX6" s="39">
        <v>0.65</v>
      </c>
      <c r="AY6" s="42">
        <f>J6*AX6</f>
        <v>369.65500000000003</v>
      </c>
      <c r="AZ6" s="42">
        <f>J6+AY6</f>
        <v>938.35500000000002</v>
      </c>
      <c r="BA6" s="39">
        <v>0.05</v>
      </c>
      <c r="BB6" s="42">
        <f>AZ6*BA6</f>
        <v>46.917750000000005</v>
      </c>
      <c r="BC6" s="42">
        <f>AZ6+BB6</f>
        <v>985.27274999999997</v>
      </c>
      <c r="BD6" s="67">
        <v>0.35</v>
      </c>
      <c r="BE6" s="42">
        <f>J6*BD6</f>
        <v>199.04500000000002</v>
      </c>
      <c r="BF6" s="42">
        <f>J6+BE6</f>
        <v>767.74500000000012</v>
      </c>
      <c r="BG6" s="39">
        <v>0.05</v>
      </c>
      <c r="BH6" s="42">
        <f>BF6*BG6</f>
        <v>38.387250000000009</v>
      </c>
      <c r="BI6" s="42">
        <f>BF6+BH6</f>
        <v>806.13225000000011</v>
      </c>
      <c r="BN6" s="25">
        <f t="shared" ref="BN6:BN12" si="0">+G6*5%</f>
        <v>23.5</v>
      </c>
      <c r="BO6" s="19">
        <f t="shared" ref="BO6:BO12" si="1">+G6+BN6</f>
        <v>493.5</v>
      </c>
      <c r="BP6" s="12">
        <f t="shared" ref="BP6:BP12" si="2">+F6*BO6</f>
        <v>987</v>
      </c>
    </row>
    <row r="7" spans="2:68" x14ac:dyDescent="0.25">
      <c r="B7" s="13">
        <f t="shared" ref="B7:B12" si="3">+B6+1</f>
        <v>2</v>
      </c>
      <c r="C7" s="17" t="s">
        <v>10</v>
      </c>
      <c r="D7" s="24">
        <v>1</v>
      </c>
      <c r="E7" s="24">
        <v>1</v>
      </c>
      <c r="F7" s="26">
        <f t="shared" ref="F7:F12" si="4">+D7+E7</f>
        <v>2</v>
      </c>
      <c r="G7" s="25">
        <v>470</v>
      </c>
      <c r="H7" s="41">
        <v>0.21</v>
      </c>
      <c r="I7" s="42">
        <f t="shared" ref="I7:I61" si="5">G7*H7</f>
        <v>98.7</v>
      </c>
      <c r="J7" s="43">
        <f t="shared" ref="J7:J61" si="6">G7+I7</f>
        <v>568.70000000000005</v>
      </c>
      <c r="K7" s="41">
        <v>0.05</v>
      </c>
      <c r="L7" s="42">
        <f t="shared" ref="L7:L61" si="7">J7*K7</f>
        <v>28.435000000000002</v>
      </c>
      <c r="M7" s="45">
        <f t="shared" ref="M7:M61" si="8">J7+L7</f>
        <v>597.13499999999999</v>
      </c>
      <c r="N7" s="39">
        <v>0.85</v>
      </c>
      <c r="O7" s="42">
        <f t="shared" ref="O7:O61" si="9">J7*N7</f>
        <v>483.39500000000004</v>
      </c>
      <c r="P7" s="42">
        <f t="shared" ref="P7:P61" si="10">J7+O7</f>
        <v>1052.095</v>
      </c>
      <c r="Q7" s="39">
        <v>0.05</v>
      </c>
      <c r="R7" s="42">
        <f t="shared" ref="R7:R61" si="11">P7*Q7</f>
        <v>52.604750000000003</v>
      </c>
      <c r="S7" s="43">
        <f t="shared" ref="S7:S61" si="12">P7+R7</f>
        <v>1104.69975</v>
      </c>
      <c r="T7" s="39">
        <v>0.84</v>
      </c>
      <c r="U7" s="42">
        <f t="shared" ref="U7:U61" si="13">O7*T7</f>
        <v>406.05180000000001</v>
      </c>
      <c r="V7" s="42">
        <f t="shared" ref="V7:V60" si="14">J7+U7</f>
        <v>974.7518</v>
      </c>
      <c r="W7" s="39">
        <v>0.05</v>
      </c>
      <c r="X7" s="42">
        <f t="shared" ref="X7:X61" si="15">V7*W7</f>
        <v>48.737590000000004</v>
      </c>
      <c r="Y7" s="42">
        <f t="shared" ref="Y7:Y61" si="16">V7+X7</f>
        <v>1023.48939</v>
      </c>
      <c r="Z7" s="39">
        <v>0.83</v>
      </c>
      <c r="AA7" s="42">
        <f t="shared" ref="AA7:AA61" si="17">J7*Z7</f>
        <v>472.02100000000002</v>
      </c>
      <c r="AB7" s="42">
        <f t="shared" ref="AB7:AB61" si="18">J7+AA7</f>
        <v>1040.721</v>
      </c>
      <c r="AC7" s="39">
        <v>0.05</v>
      </c>
      <c r="AD7" s="42">
        <f t="shared" ref="AD7:AD61" si="19">AB7*AC7</f>
        <v>52.036050000000003</v>
      </c>
      <c r="AE7" s="42">
        <f t="shared" ref="AE7:AE61" si="20">AB7+AD7</f>
        <v>1092.7570499999999</v>
      </c>
      <c r="AF7" s="39">
        <v>0.82</v>
      </c>
      <c r="AG7" s="42">
        <f t="shared" ref="AG7:AG61" si="21">J7*AF7</f>
        <v>466.334</v>
      </c>
      <c r="AH7" s="42">
        <f t="shared" ref="AH7:AH61" si="22">J7+AG7</f>
        <v>1035.0340000000001</v>
      </c>
      <c r="AI7" s="39">
        <v>0.05</v>
      </c>
      <c r="AJ7" s="42">
        <f t="shared" ref="AJ7:AJ61" si="23">AH7*AI7</f>
        <v>51.751700000000007</v>
      </c>
      <c r="AK7" s="42">
        <f t="shared" ref="AK7:AK61" si="24">AH7+AJ7</f>
        <v>1086.7857000000001</v>
      </c>
      <c r="AL7" s="39">
        <v>0.76</v>
      </c>
      <c r="AM7" s="42">
        <f t="shared" ref="AM7:AM61" si="25">J7*AL7</f>
        <v>432.21200000000005</v>
      </c>
      <c r="AN7" s="42">
        <f t="shared" ref="AN7:AN61" si="26">J7+AM7</f>
        <v>1000.912</v>
      </c>
      <c r="AO7" s="39">
        <v>0.05</v>
      </c>
      <c r="AP7" s="42">
        <f t="shared" ref="AP7:AP61" si="27">AN7*AO7</f>
        <v>50.045600000000007</v>
      </c>
      <c r="AQ7" s="42">
        <f t="shared" ref="AQ7:AQ61" si="28">AN7+AP7</f>
        <v>1050.9576</v>
      </c>
      <c r="AR7" s="39">
        <v>0.7</v>
      </c>
      <c r="AS7" s="42">
        <f t="shared" ref="AS7:AS61" si="29">J7*AR7</f>
        <v>398.09000000000003</v>
      </c>
      <c r="AT7" s="42">
        <f t="shared" ref="AT7:AT61" si="30">J7+AS7</f>
        <v>966.79000000000008</v>
      </c>
      <c r="AU7" s="39">
        <v>0.05</v>
      </c>
      <c r="AV7" s="42">
        <f t="shared" ref="AV7:AV61" si="31">AT7*AU7</f>
        <v>48.339500000000008</v>
      </c>
      <c r="AW7" s="42">
        <f t="shared" ref="AW7:AW61" si="32">AT7+AV7</f>
        <v>1015.1295000000001</v>
      </c>
      <c r="AX7" s="39">
        <v>0.65</v>
      </c>
      <c r="AY7" s="42">
        <f t="shared" ref="AY7:AY61" si="33">J7*AX7</f>
        <v>369.65500000000003</v>
      </c>
      <c r="AZ7" s="42">
        <f t="shared" ref="AZ7:AZ61" si="34">J7+AY7</f>
        <v>938.35500000000002</v>
      </c>
      <c r="BA7" s="39">
        <v>0.05</v>
      </c>
      <c r="BB7" s="42">
        <f t="shared" ref="BB7:BB61" si="35">AZ7*BA7</f>
        <v>46.917750000000005</v>
      </c>
      <c r="BC7" s="42">
        <f t="shared" ref="BC7:BC61" si="36">AZ7+BB7</f>
        <v>985.27274999999997</v>
      </c>
      <c r="BD7" s="67">
        <v>0.35</v>
      </c>
      <c r="BE7" s="42">
        <f t="shared" ref="BE7:BE61" si="37">J7*BD7</f>
        <v>199.04500000000002</v>
      </c>
      <c r="BF7" s="42">
        <f t="shared" ref="BF7:BF61" si="38">J7+BE7</f>
        <v>767.74500000000012</v>
      </c>
      <c r="BG7" s="39">
        <v>0.05</v>
      </c>
      <c r="BH7" s="42">
        <f t="shared" ref="BH7:BH61" si="39">BF7*BG7</f>
        <v>38.387250000000009</v>
      </c>
      <c r="BI7" s="42">
        <f t="shared" ref="BI7:BI61" si="40">BF7+BH7</f>
        <v>806.13225000000011</v>
      </c>
      <c r="BN7" s="25">
        <f t="shared" si="0"/>
        <v>23.5</v>
      </c>
      <c r="BO7" s="19">
        <f t="shared" si="1"/>
        <v>493.5</v>
      </c>
      <c r="BP7" s="12">
        <f t="shared" si="2"/>
        <v>987</v>
      </c>
    </row>
    <row r="8" spans="2:68" x14ac:dyDescent="0.25">
      <c r="B8" s="13">
        <f t="shared" si="3"/>
        <v>3</v>
      </c>
      <c r="C8" s="17" t="s">
        <v>11</v>
      </c>
      <c r="D8" s="24">
        <v>1</v>
      </c>
      <c r="E8" s="24">
        <v>1</v>
      </c>
      <c r="F8" s="26">
        <f t="shared" si="4"/>
        <v>2</v>
      </c>
      <c r="G8" s="25">
        <v>470</v>
      </c>
      <c r="H8" s="41">
        <v>0.21</v>
      </c>
      <c r="I8" s="42">
        <f t="shared" si="5"/>
        <v>98.7</v>
      </c>
      <c r="J8" s="43">
        <f t="shared" si="6"/>
        <v>568.70000000000005</v>
      </c>
      <c r="K8" s="41">
        <v>0.05</v>
      </c>
      <c r="L8" s="42">
        <f t="shared" si="7"/>
        <v>28.435000000000002</v>
      </c>
      <c r="M8" s="45">
        <f t="shared" si="8"/>
        <v>597.13499999999999</v>
      </c>
      <c r="N8" s="39">
        <v>0.85</v>
      </c>
      <c r="O8" s="42">
        <f t="shared" si="9"/>
        <v>483.39500000000004</v>
      </c>
      <c r="P8" s="42">
        <f t="shared" si="10"/>
        <v>1052.095</v>
      </c>
      <c r="Q8" s="39">
        <v>0.05</v>
      </c>
      <c r="R8" s="42">
        <f t="shared" si="11"/>
        <v>52.604750000000003</v>
      </c>
      <c r="S8" s="43">
        <f t="shared" si="12"/>
        <v>1104.69975</v>
      </c>
      <c r="T8" s="39">
        <v>0.84</v>
      </c>
      <c r="U8" s="42">
        <f t="shared" si="13"/>
        <v>406.05180000000001</v>
      </c>
      <c r="V8" s="42">
        <f t="shared" si="14"/>
        <v>974.7518</v>
      </c>
      <c r="W8" s="39">
        <v>0.05</v>
      </c>
      <c r="X8" s="42">
        <f t="shared" si="15"/>
        <v>48.737590000000004</v>
      </c>
      <c r="Y8" s="42">
        <f t="shared" si="16"/>
        <v>1023.48939</v>
      </c>
      <c r="Z8" s="39">
        <v>0.83</v>
      </c>
      <c r="AA8" s="42">
        <f t="shared" si="17"/>
        <v>472.02100000000002</v>
      </c>
      <c r="AB8" s="42">
        <f t="shared" si="18"/>
        <v>1040.721</v>
      </c>
      <c r="AC8" s="39">
        <v>0.05</v>
      </c>
      <c r="AD8" s="42">
        <f t="shared" si="19"/>
        <v>52.036050000000003</v>
      </c>
      <c r="AE8" s="42">
        <f t="shared" si="20"/>
        <v>1092.7570499999999</v>
      </c>
      <c r="AF8" s="39">
        <v>0.82</v>
      </c>
      <c r="AG8" s="42">
        <f t="shared" si="21"/>
        <v>466.334</v>
      </c>
      <c r="AH8" s="42">
        <f t="shared" si="22"/>
        <v>1035.0340000000001</v>
      </c>
      <c r="AI8" s="39">
        <v>0.05</v>
      </c>
      <c r="AJ8" s="42">
        <f t="shared" si="23"/>
        <v>51.751700000000007</v>
      </c>
      <c r="AK8" s="42">
        <f t="shared" si="24"/>
        <v>1086.7857000000001</v>
      </c>
      <c r="AL8" s="39">
        <v>0.76</v>
      </c>
      <c r="AM8" s="42">
        <f t="shared" si="25"/>
        <v>432.21200000000005</v>
      </c>
      <c r="AN8" s="42">
        <f t="shared" si="26"/>
        <v>1000.912</v>
      </c>
      <c r="AO8" s="39">
        <v>0.05</v>
      </c>
      <c r="AP8" s="42">
        <f t="shared" si="27"/>
        <v>50.045600000000007</v>
      </c>
      <c r="AQ8" s="42">
        <f t="shared" si="28"/>
        <v>1050.9576</v>
      </c>
      <c r="AR8" s="39">
        <v>0.7</v>
      </c>
      <c r="AS8" s="42">
        <f t="shared" si="29"/>
        <v>398.09000000000003</v>
      </c>
      <c r="AT8" s="42">
        <f t="shared" si="30"/>
        <v>966.79000000000008</v>
      </c>
      <c r="AU8" s="39">
        <v>0.05</v>
      </c>
      <c r="AV8" s="42">
        <f t="shared" si="31"/>
        <v>48.339500000000008</v>
      </c>
      <c r="AW8" s="42">
        <f t="shared" si="32"/>
        <v>1015.1295000000001</v>
      </c>
      <c r="AX8" s="39">
        <v>0.65</v>
      </c>
      <c r="AY8" s="42">
        <f t="shared" si="33"/>
        <v>369.65500000000003</v>
      </c>
      <c r="AZ8" s="42">
        <f t="shared" si="34"/>
        <v>938.35500000000002</v>
      </c>
      <c r="BA8" s="39">
        <v>0.05</v>
      </c>
      <c r="BB8" s="42">
        <f t="shared" si="35"/>
        <v>46.917750000000005</v>
      </c>
      <c r="BC8" s="42">
        <f t="shared" si="36"/>
        <v>985.27274999999997</v>
      </c>
      <c r="BD8" s="67">
        <v>0.35</v>
      </c>
      <c r="BE8" s="42">
        <f t="shared" si="37"/>
        <v>199.04500000000002</v>
      </c>
      <c r="BF8" s="42">
        <f t="shared" si="38"/>
        <v>767.74500000000012</v>
      </c>
      <c r="BG8" s="39">
        <v>0.05</v>
      </c>
      <c r="BH8" s="42">
        <f t="shared" si="39"/>
        <v>38.387250000000009</v>
      </c>
      <c r="BI8" s="42">
        <f t="shared" si="40"/>
        <v>806.13225000000011</v>
      </c>
      <c r="BN8" s="25">
        <f t="shared" si="0"/>
        <v>23.5</v>
      </c>
      <c r="BO8" s="19">
        <f t="shared" si="1"/>
        <v>493.5</v>
      </c>
      <c r="BP8" s="12">
        <f t="shared" si="2"/>
        <v>987</v>
      </c>
    </row>
    <row r="9" spans="2:68" x14ac:dyDescent="0.25">
      <c r="B9" s="13">
        <f t="shared" si="3"/>
        <v>4</v>
      </c>
      <c r="C9" s="17" t="s">
        <v>12</v>
      </c>
      <c r="D9" s="24">
        <v>1</v>
      </c>
      <c r="E9" s="24">
        <v>1</v>
      </c>
      <c r="F9" s="26">
        <f t="shared" si="4"/>
        <v>2</v>
      </c>
      <c r="G9" s="25">
        <v>470</v>
      </c>
      <c r="H9" s="41">
        <v>0.21</v>
      </c>
      <c r="I9" s="42">
        <f t="shared" si="5"/>
        <v>98.7</v>
      </c>
      <c r="J9" s="43">
        <f t="shared" si="6"/>
        <v>568.70000000000005</v>
      </c>
      <c r="K9" s="41">
        <v>0.05</v>
      </c>
      <c r="L9" s="42">
        <f t="shared" si="7"/>
        <v>28.435000000000002</v>
      </c>
      <c r="M9" s="45">
        <f t="shared" si="8"/>
        <v>597.13499999999999</v>
      </c>
      <c r="N9" s="39">
        <v>0.85</v>
      </c>
      <c r="O9" s="42">
        <f t="shared" si="9"/>
        <v>483.39500000000004</v>
      </c>
      <c r="P9" s="42">
        <f t="shared" si="10"/>
        <v>1052.095</v>
      </c>
      <c r="Q9" s="39">
        <v>0.05</v>
      </c>
      <c r="R9" s="42">
        <f t="shared" si="11"/>
        <v>52.604750000000003</v>
      </c>
      <c r="S9" s="43">
        <f t="shared" si="12"/>
        <v>1104.69975</v>
      </c>
      <c r="T9" s="39">
        <v>0.84</v>
      </c>
      <c r="U9" s="42">
        <f t="shared" si="13"/>
        <v>406.05180000000001</v>
      </c>
      <c r="V9" s="42">
        <f t="shared" si="14"/>
        <v>974.7518</v>
      </c>
      <c r="W9" s="39">
        <v>0.05</v>
      </c>
      <c r="X9" s="42">
        <f t="shared" si="15"/>
        <v>48.737590000000004</v>
      </c>
      <c r="Y9" s="42">
        <f t="shared" si="16"/>
        <v>1023.48939</v>
      </c>
      <c r="Z9" s="39">
        <v>0.83</v>
      </c>
      <c r="AA9" s="42">
        <f t="shared" si="17"/>
        <v>472.02100000000002</v>
      </c>
      <c r="AB9" s="42">
        <f t="shared" si="18"/>
        <v>1040.721</v>
      </c>
      <c r="AC9" s="39">
        <v>0.05</v>
      </c>
      <c r="AD9" s="42">
        <f t="shared" si="19"/>
        <v>52.036050000000003</v>
      </c>
      <c r="AE9" s="42">
        <f t="shared" si="20"/>
        <v>1092.7570499999999</v>
      </c>
      <c r="AF9" s="39">
        <v>0.82</v>
      </c>
      <c r="AG9" s="42">
        <f t="shared" si="21"/>
        <v>466.334</v>
      </c>
      <c r="AH9" s="42">
        <f t="shared" si="22"/>
        <v>1035.0340000000001</v>
      </c>
      <c r="AI9" s="39">
        <v>0.05</v>
      </c>
      <c r="AJ9" s="42">
        <f t="shared" si="23"/>
        <v>51.751700000000007</v>
      </c>
      <c r="AK9" s="42">
        <f t="shared" si="24"/>
        <v>1086.7857000000001</v>
      </c>
      <c r="AL9" s="39">
        <v>0.76</v>
      </c>
      <c r="AM9" s="42">
        <f t="shared" si="25"/>
        <v>432.21200000000005</v>
      </c>
      <c r="AN9" s="42">
        <f t="shared" si="26"/>
        <v>1000.912</v>
      </c>
      <c r="AO9" s="39">
        <v>0.05</v>
      </c>
      <c r="AP9" s="42">
        <f t="shared" si="27"/>
        <v>50.045600000000007</v>
      </c>
      <c r="AQ9" s="42">
        <f t="shared" si="28"/>
        <v>1050.9576</v>
      </c>
      <c r="AR9" s="39">
        <v>0.7</v>
      </c>
      <c r="AS9" s="42">
        <f t="shared" si="29"/>
        <v>398.09000000000003</v>
      </c>
      <c r="AT9" s="42">
        <f t="shared" si="30"/>
        <v>966.79000000000008</v>
      </c>
      <c r="AU9" s="39">
        <v>0.05</v>
      </c>
      <c r="AV9" s="42">
        <f t="shared" si="31"/>
        <v>48.339500000000008</v>
      </c>
      <c r="AW9" s="42">
        <f t="shared" si="32"/>
        <v>1015.1295000000001</v>
      </c>
      <c r="AX9" s="39">
        <v>0.65</v>
      </c>
      <c r="AY9" s="42">
        <f t="shared" si="33"/>
        <v>369.65500000000003</v>
      </c>
      <c r="AZ9" s="42">
        <f t="shared" si="34"/>
        <v>938.35500000000002</v>
      </c>
      <c r="BA9" s="39">
        <v>0.05</v>
      </c>
      <c r="BB9" s="42">
        <f t="shared" si="35"/>
        <v>46.917750000000005</v>
      </c>
      <c r="BC9" s="42">
        <f t="shared" si="36"/>
        <v>985.27274999999997</v>
      </c>
      <c r="BD9" s="67">
        <v>0.35</v>
      </c>
      <c r="BE9" s="42">
        <f t="shared" si="37"/>
        <v>199.04500000000002</v>
      </c>
      <c r="BF9" s="42">
        <f t="shared" si="38"/>
        <v>767.74500000000012</v>
      </c>
      <c r="BG9" s="39">
        <v>0.05</v>
      </c>
      <c r="BH9" s="42">
        <f t="shared" si="39"/>
        <v>38.387250000000009</v>
      </c>
      <c r="BI9" s="42">
        <f t="shared" si="40"/>
        <v>806.13225000000011</v>
      </c>
      <c r="BN9" s="25">
        <f t="shared" si="0"/>
        <v>23.5</v>
      </c>
      <c r="BO9" s="19">
        <f t="shared" si="1"/>
        <v>493.5</v>
      </c>
      <c r="BP9" s="12">
        <f t="shared" si="2"/>
        <v>987</v>
      </c>
    </row>
    <row r="10" spans="2:68" x14ac:dyDescent="0.25">
      <c r="B10" s="13">
        <f t="shared" si="3"/>
        <v>5</v>
      </c>
      <c r="C10" s="17" t="s">
        <v>13</v>
      </c>
      <c r="D10" s="24">
        <v>1</v>
      </c>
      <c r="E10" s="24">
        <v>1</v>
      </c>
      <c r="F10" s="26">
        <f t="shared" si="4"/>
        <v>2</v>
      </c>
      <c r="G10" s="25">
        <v>470</v>
      </c>
      <c r="H10" s="41">
        <v>0.21</v>
      </c>
      <c r="I10" s="42">
        <f t="shared" si="5"/>
        <v>98.7</v>
      </c>
      <c r="J10" s="43">
        <f t="shared" si="6"/>
        <v>568.70000000000005</v>
      </c>
      <c r="K10" s="41">
        <v>0.05</v>
      </c>
      <c r="L10" s="42">
        <f t="shared" si="7"/>
        <v>28.435000000000002</v>
      </c>
      <c r="M10" s="45">
        <f t="shared" si="8"/>
        <v>597.13499999999999</v>
      </c>
      <c r="N10" s="39">
        <v>0.85</v>
      </c>
      <c r="O10" s="42">
        <f t="shared" si="9"/>
        <v>483.39500000000004</v>
      </c>
      <c r="P10" s="42">
        <f t="shared" si="10"/>
        <v>1052.095</v>
      </c>
      <c r="Q10" s="39">
        <v>0.05</v>
      </c>
      <c r="R10" s="42">
        <f t="shared" si="11"/>
        <v>52.604750000000003</v>
      </c>
      <c r="S10" s="43">
        <f t="shared" si="12"/>
        <v>1104.69975</v>
      </c>
      <c r="T10" s="39">
        <v>0.84</v>
      </c>
      <c r="U10" s="42">
        <f t="shared" si="13"/>
        <v>406.05180000000001</v>
      </c>
      <c r="V10" s="42">
        <f t="shared" si="14"/>
        <v>974.7518</v>
      </c>
      <c r="W10" s="39">
        <v>0.05</v>
      </c>
      <c r="X10" s="42">
        <f t="shared" si="15"/>
        <v>48.737590000000004</v>
      </c>
      <c r="Y10" s="42">
        <f t="shared" si="16"/>
        <v>1023.48939</v>
      </c>
      <c r="Z10" s="39">
        <v>0.83</v>
      </c>
      <c r="AA10" s="42">
        <f t="shared" si="17"/>
        <v>472.02100000000002</v>
      </c>
      <c r="AB10" s="42">
        <f t="shared" si="18"/>
        <v>1040.721</v>
      </c>
      <c r="AC10" s="39">
        <v>0.05</v>
      </c>
      <c r="AD10" s="42">
        <f t="shared" si="19"/>
        <v>52.036050000000003</v>
      </c>
      <c r="AE10" s="42">
        <f t="shared" si="20"/>
        <v>1092.7570499999999</v>
      </c>
      <c r="AF10" s="39">
        <v>0.82</v>
      </c>
      <c r="AG10" s="42">
        <f t="shared" si="21"/>
        <v>466.334</v>
      </c>
      <c r="AH10" s="42">
        <f t="shared" si="22"/>
        <v>1035.0340000000001</v>
      </c>
      <c r="AI10" s="39">
        <v>0.05</v>
      </c>
      <c r="AJ10" s="42">
        <f t="shared" si="23"/>
        <v>51.751700000000007</v>
      </c>
      <c r="AK10" s="42">
        <f t="shared" si="24"/>
        <v>1086.7857000000001</v>
      </c>
      <c r="AL10" s="39">
        <v>0.76</v>
      </c>
      <c r="AM10" s="42">
        <f t="shared" si="25"/>
        <v>432.21200000000005</v>
      </c>
      <c r="AN10" s="42">
        <f t="shared" si="26"/>
        <v>1000.912</v>
      </c>
      <c r="AO10" s="39">
        <v>0.05</v>
      </c>
      <c r="AP10" s="42">
        <f t="shared" si="27"/>
        <v>50.045600000000007</v>
      </c>
      <c r="AQ10" s="42">
        <f t="shared" si="28"/>
        <v>1050.9576</v>
      </c>
      <c r="AR10" s="39">
        <v>0.7</v>
      </c>
      <c r="AS10" s="42">
        <f t="shared" si="29"/>
        <v>398.09000000000003</v>
      </c>
      <c r="AT10" s="42">
        <f t="shared" si="30"/>
        <v>966.79000000000008</v>
      </c>
      <c r="AU10" s="39">
        <v>0.05</v>
      </c>
      <c r="AV10" s="42">
        <f t="shared" si="31"/>
        <v>48.339500000000008</v>
      </c>
      <c r="AW10" s="42">
        <f t="shared" si="32"/>
        <v>1015.1295000000001</v>
      </c>
      <c r="AX10" s="39">
        <v>0.65</v>
      </c>
      <c r="AY10" s="42">
        <f t="shared" si="33"/>
        <v>369.65500000000003</v>
      </c>
      <c r="AZ10" s="42">
        <f t="shared" si="34"/>
        <v>938.35500000000002</v>
      </c>
      <c r="BA10" s="39">
        <v>0.05</v>
      </c>
      <c r="BB10" s="42">
        <f t="shared" si="35"/>
        <v>46.917750000000005</v>
      </c>
      <c r="BC10" s="42">
        <f t="shared" si="36"/>
        <v>985.27274999999997</v>
      </c>
      <c r="BD10" s="67">
        <v>0.35</v>
      </c>
      <c r="BE10" s="42">
        <f t="shared" si="37"/>
        <v>199.04500000000002</v>
      </c>
      <c r="BF10" s="42">
        <f t="shared" si="38"/>
        <v>767.74500000000012</v>
      </c>
      <c r="BG10" s="39">
        <v>0.05</v>
      </c>
      <c r="BH10" s="42">
        <f t="shared" si="39"/>
        <v>38.387250000000009</v>
      </c>
      <c r="BI10" s="42">
        <f t="shared" si="40"/>
        <v>806.13225000000011</v>
      </c>
      <c r="BN10" s="25">
        <f t="shared" si="0"/>
        <v>23.5</v>
      </c>
      <c r="BO10" s="19">
        <f t="shared" si="1"/>
        <v>493.5</v>
      </c>
      <c r="BP10" s="12">
        <f t="shared" si="2"/>
        <v>987</v>
      </c>
    </row>
    <row r="11" spans="2:68" x14ac:dyDescent="0.25">
      <c r="B11" s="13">
        <f t="shared" si="3"/>
        <v>6</v>
      </c>
      <c r="C11" s="17" t="s">
        <v>14</v>
      </c>
      <c r="D11" s="24">
        <v>1</v>
      </c>
      <c r="E11" s="24">
        <v>1</v>
      </c>
      <c r="F11" s="26">
        <f t="shared" si="4"/>
        <v>2</v>
      </c>
      <c r="G11" s="25">
        <v>470</v>
      </c>
      <c r="H11" s="41">
        <v>0.21</v>
      </c>
      <c r="I11" s="42">
        <f t="shared" si="5"/>
        <v>98.7</v>
      </c>
      <c r="J11" s="43">
        <f t="shared" si="6"/>
        <v>568.70000000000005</v>
      </c>
      <c r="K11" s="41">
        <v>0.05</v>
      </c>
      <c r="L11" s="42">
        <f t="shared" si="7"/>
        <v>28.435000000000002</v>
      </c>
      <c r="M11" s="45">
        <f t="shared" si="8"/>
        <v>597.13499999999999</v>
      </c>
      <c r="N11" s="39">
        <v>0.85</v>
      </c>
      <c r="O11" s="42">
        <f t="shared" si="9"/>
        <v>483.39500000000004</v>
      </c>
      <c r="P11" s="42">
        <f t="shared" si="10"/>
        <v>1052.095</v>
      </c>
      <c r="Q11" s="39">
        <v>0.05</v>
      </c>
      <c r="R11" s="42">
        <f t="shared" si="11"/>
        <v>52.604750000000003</v>
      </c>
      <c r="S11" s="43">
        <f t="shared" si="12"/>
        <v>1104.69975</v>
      </c>
      <c r="T11" s="39">
        <v>0.84</v>
      </c>
      <c r="U11" s="42">
        <f t="shared" si="13"/>
        <v>406.05180000000001</v>
      </c>
      <c r="V11" s="42">
        <f t="shared" si="14"/>
        <v>974.7518</v>
      </c>
      <c r="W11" s="39">
        <v>0.05</v>
      </c>
      <c r="X11" s="42">
        <f t="shared" si="15"/>
        <v>48.737590000000004</v>
      </c>
      <c r="Y11" s="42">
        <f t="shared" si="16"/>
        <v>1023.48939</v>
      </c>
      <c r="Z11" s="39">
        <v>0.83</v>
      </c>
      <c r="AA11" s="42">
        <f t="shared" si="17"/>
        <v>472.02100000000002</v>
      </c>
      <c r="AB11" s="42">
        <f t="shared" si="18"/>
        <v>1040.721</v>
      </c>
      <c r="AC11" s="39">
        <v>0.05</v>
      </c>
      <c r="AD11" s="42">
        <f t="shared" si="19"/>
        <v>52.036050000000003</v>
      </c>
      <c r="AE11" s="42">
        <f t="shared" si="20"/>
        <v>1092.7570499999999</v>
      </c>
      <c r="AF11" s="39">
        <v>0.82</v>
      </c>
      <c r="AG11" s="42">
        <f t="shared" si="21"/>
        <v>466.334</v>
      </c>
      <c r="AH11" s="42">
        <f t="shared" si="22"/>
        <v>1035.0340000000001</v>
      </c>
      <c r="AI11" s="39">
        <v>0.05</v>
      </c>
      <c r="AJ11" s="42">
        <f t="shared" si="23"/>
        <v>51.751700000000007</v>
      </c>
      <c r="AK11" s="42">
        <f t="shared" si="24"/>
        <v>1086.7857000000001</v>
      </c>
      <c r="AL11" s="39">
        <v>0.76</v>
      </c>
      <c r="AM11" s="42">
        <f t="shared" si="25"/>
        <v>432.21200000000005</v>
      </c>
      <c r="AN11" s="42">
        <f t="shared" si="26"/>
        <v>1000.912</v>
      </c>
      <c r="AO11" s="39">
        <v>0.05</v>
      </c>
      <c r="AP11" s="42">
        <f t="shared" si="27"/>
        <v>50.045600000000007</v>
      </c>
      <c r="AQ11" s="42">
        <f t="shared" si="28"/>
        <v>1050.9576</v>
      </c>
      <c r="AR11" s="39">
        <v>0.7</v>
      </c>
      <c r="AS11" s="42">
        <f t="shared" si="29"/>
        <v>398.09000000000003</v>
      </c>
      <c r="AT11" s="42">
        <f t="shared" si="30"/>
        <v>966.79000000000008</v>
      </c>
      <c r="AU11" s="39">
        <v>0.05</v>
      </c>
      <c r="AV11" s="42">
        <f t="shared" si="31"/>
        <v>48.339500000000008</v>
      </c>
      <c r="AW11" s="42">
        <f t="shared" si="32"/>
        <v>1015.1295000000001</v>
      </c>
      <c r="AX11" s="39">
        <v>0.65</v>
      </c>
      <c r="AY11" s="42">
        <f t="shared" si="33"/>
        <v>369.65500000000003</v>
      </c>
      <c r="AZ11" s="42">
        <f t="shared" si="34"/>
        <v>938.35500000000002</v>
      </c>
      <c r="BA11" s="39">
        <v>0.05</v>
      </c>
      <c r="BB11" s="42">
        <f t="shared" si="35"/>
        <v>46.917750000000005</v>
      </c>
      <c r="BC11" s="42">
        <f t="shared" si="36"/>
        <v>985.27274999999997</v>
      </c>
      <c r="BD11" s="67">
        <v>0.35</v>
      </c>
      <c r="BE11" s="42">
        <f t="shared" si="37"/>
        <v>199.04500000000002</v>
      </c>
      <c r="BF11" s="42">
        <f t="shared" si="38"/>
        <v>767.74500000000012</v>
      </c>
      <c r="BG11" s="39">
        <v>0.05</v>
      </c>
      <c r="BH11" s="42">
        <f t="shared" si="39"/>
        <v>38.387250000000009</v>
      </c>
      <c r="BI11" s="42">
        <f t="shared" si="40"/>
        <v>806.13225000000011</v>
      </c>
      <c r="BN11" s="25">
        <f t="shared" si="0"/>
        <v>23.5</v>
      </c>
      <c r="BO11" s="19">
        <f t="shared" si="1"/>
        <v>493.5</v>
      </c>
      <c r="BP11" s="12">
        <f t="shared" si="2"/>
        <v>987</v>
      </c>
    </row>
    <row r="12" spans="2:68" x14ac:dyDescent="0.25">
      <c r="B12" s="13">
        <f t="shared" si="3"/>
        <v>7</v>
      </c>
      <c r="C12" s="17" t="s">
        <v>15</v>
      </c>
      <c r="D12" s="24">
        <v>1</v>
      </c>
      <c r="E12" s="24">
        <v>1</v>
      </c>
      <c r="F12" s="26">
        <f t="shared" si="4"/>
        <v>2</v>
      </c>
      <c r="G12" s="25">
        <v>470</v>
      </c>
      <c r="H12" s="41">
        <v>0.21</v>
      </c>
      <c r="I12" s="42">
        <f t="shared" si="5"/>
        <v>98.7</v>
      </c>
      <c r="J12" s="43">
        <f t="shared" si="6"/>
        <v>568.70000000000005</v>
      </c>
      <c r="K12" s="41">
        <v>0.05</v>
      </c>
      <c r="L12" s="42">
        <f t="shared" si="7"/>
        <v>28.435000000000002</v>
      </c>
      <c r="M12" s="45">
        <f t="shared" si="8"/>
        <v>597.13499999999999</v>
      </c>
      <c r="N12" s="39">
        <v>0.85</v>
      </c>
      <c r="O12" s="42">
        <f t="shared" si="9"/>
        <v>483.39500000000004</v>
      </c>
      <c r="P12" s="42">
        <f t="shared" si="10"/>
        <v>1052.095</v>
      </c>
      <c r="Q12" s="39">
        <v>0.05</v>
      </c>
      <c r="R12" s="42">
        <f t="shared" si="11"/>
        <v>52.604750000000003</v>
      </c>
      <c r="S12" s="43">
        <f t="shared" si="12"/>
        <v>1104.69975</v>
      </c>
      <c r="T12" s="39">
        <v>0.84</v>
      </c>
      <c r="U12" s="42">
        <f t="shared" si="13"/>
        <v>406.05180000000001</v>
      </c>
      <c r="V12" s="42">
        <f t="shared" si="14"/>
        <v>974.7518</v>
      </c>
      <c r="W12" s="39">
        <v>0.05</v>
      </c>
      <c r="X12" s="42">
        <f t="shared" si="15"/>
        <v>48.737590000000004</v>
      </c>
      <c r="Y12" s="42">
        <f t="shared" si="16"/>
        <v>1023.48939</v>
      </c>
      <c r="Z12" s="39">
        <v>0.83</v>
      </c>
      <c r="AA12" s="42">
        <f t="shared" si="17"/>
        <v>472.02100000000002</v>
      </c>
      <c r="AB12" s="42">
        <f t="shared" si="18"/>
        <v>1040.721</v>
      </c>
      <c r="AC12" s="39">
        <v>0.05</v>
      </c>
      <c r="AD12" s="42">
        <f t="shared" si="19"/>
        <v>52.036050000000003</v>
      </c>
      <c r="AE12" s="42">
        <f t="shared" si="20"/>
        <v>1092.7570499999999</v>
      </c>
      <c r="AF12" s="39">
        <v>0.82</v>
      </c>
      <c r="AG12" s="42">
        <f t="shared" si="21"/>
        <v>466.334</v>
      </c>
      <c r="AH12" s="42">
        <f t="shared" si="22"/>
        <v>1035.0340000000001</v>
      </c>
      <c r="AI12" s="39">
        <v>0.05</v>
      </c>
      <c r="AJ12" s="42">
        <f t="shared" si="23"/>
        <v>51.751700000000007</v>
      </c>
      <c r="AK12" s="42">
        <f t="shared" si="24"/>
        <v>1086.7857000000001</v>
      </c>
      <c r="AL12" s="39">
        <v>0.76</v>
      </c>
      <c r="AM12" s="42">
        <f t="shared" si="25"/>
        <v>432.21200000000005</v>
      </c>
      <c r="AN12" s="42">
        <f t="shared" si="26"/>
        <v>1000.912</v>
      </c>
      <c r="AO12" s="39">
        <v>0.05</v>
      </c>
      <c r="AP12" s="42">
        <f t="shared" si="27"/>
        <v>50.045600000000007</v>
      </c>
      <c r="AQ12" s="42">
        <f t="shared" si="28"/>
        <v>1050.9576</v>
      </c>
      <c r="AR12" s="39">
        <v>0.7</v>
      </c>
      <c r="AS12" s="42">
        <f t="shared" si="29"/>
        <v>398.09000000000003</v>
      </c>
      <c r="AT12" s="42">
        <f t="shared" si="30"/>
        <v>966.79000000000008</v>
      </c>
      <c r="AU12" s="39">
        <v>0.05</v>
      </c>
      <c r="AV12" s="42">
        <f t="shared" si="31"/>
        <v>48.339500000000008</v>
      </c>
      <c r="AW12" s="42">
        <f t="shared" si="32"/>
        <v>1015.1295000000001</v>
      </c>
      <c r="AX12" s="39">
        <v>0.65</v>
      </c>
      <c r="AY12" s="42">
        <f t="shared" si="33"/>
        <v>369.65500000000003</v>
      </c>
      <c r="AZ12" s="42">
        <f t="shared" si="34"/>
        <v>938.35500000000002</v>
      </c>
      <c r="BA12" s="39">
        <v>0.05</v>
      </c>
      <c r="BB12" s="42">
        <f t="shared" si="35"/>
        <v>46.917750000000005</v>
      </c>
      <c r="BC12" s="42">
        <f t="shared" si="36"/>
        <v>985.27274999999997</v>
      </c>
      <c r="BD12" s="67">
        <v>0.35</v>
      </c>
      <c r="BE12" s="42">
        <f t="shared" si="37"/>
        <v>199.04500000000002</v>
      </c>
      <c r="BF12" s="42">
        <f t="shared" si="38"/>
        <v>767.74500000000012</v>
      </c>
      <c r="BG12" s="39">
        <v>0.05</v>
      </c>
      <c r="BH12" s="42">
        <f t="shared" si="39"/>
        <v>38.387250000000009</v>
      </c>
      <c r="BI12" s="42">
        <f t="shared" si="40"/>
        <v>806.13225000000011</v>
      </c>
      <c r="BN12" s="25">
        <f t="shared" si="0"/>
        <v>23.5</v>
      </c>
      <c r="BO12" s="19">
        <f t="shared" si="1"/>
        <v>493.5</v>
      </c>
      <c r="BP12" s="12">
        <f t="shared" si="2"/>
        <v>987</v>
      </c>
    </row>
    <row r="13" spans="2:68" x14ac:dyDescent="0.25">
      <c r="B13" s="13"/>
      <c r="C13" s="21"/>
      <c r="D13" s="27"/>
      <c r="E13" s="28"/>
      <c r="G13" s="25"/>
      <c r="H13" s="41">
        <v>0.21</v>
      </c>
      <c r="I13" s="42">
        <f t="shared" si="5"/>
        <v>0</v>
      </c>
      <c r="J13" s="43">
        <f t="shared" si="6"/>
        <v>0</v>
      </c>
      <c r="K13" s="41">
        <v>0.05</v>
      </c>
      <c r="L13" s="42">
        <f t="shared" si="7"/>
        <v>0</v>
      </c>
      <c r="M13" s="45">
        <f t="shared" si="8"/>
        <v>0</v>
      </c>
      <c r="N13" s="39">
        <v>0.85</v>
      </c>
      <c r="O13" s="42">
        <f t="shared" si="9"/>
        <v>0</v>
      </c>
      <c r="P13" s="42">
        <f t="shared" si="10"/>
        <v>0</v>
      </c>
      <c r="Q13" s="39">
        <v>0.05</v>
      </c>
      <c r="R13" s="42">
        <f t="shared" si="11"/>
        <v>0</v>
      </c>
      <c r="S13" s="43">
        <f t="shared" si="12"/>
        <v>0</v>
      </c>
      <c r="T13" s="39">
        <v>0.84</v>
      </c>
      <c r="U13" s="42">
        <f t="shared" si="13"/>
        <v>0</v>
      </c>
      <c r="V13" s="42">
        <f t="shared" si="14"/>
        <v>0</v>
      </c>
      <c r="W13" s="39">
        <v>0.05</v>
      </c>
      <c r="X13" s="42">
        <f t="shared" si="15"/>
        <v>0</v>
      </c>
      <c r="Y13" s="42">
        <f t="shared" si="16"/>
        <v>0</v>
      </c>
      <c r="Z13" s="39">
        <v>0.83</v>
      </c>
      <c r="AA13" s="42">
        <f t="shared" si="17"/>
        <v>0</v>
      </c>
      <c r="AB13" s="42">
        <f t="shared" si="18"/>
        <v>0</v>
      </c>
      <c r="AC13" s="39">
        <v>0.05</v>
      </c>
      <c r="AD13" s="42">
        <f t="shared" si="19"/>
        <v>0</v>
      </c>
      <c r="AE13" s="42">
        <f t="shared" si="20"/>
        <v>0</v>
      </c>
      <c r="AF13" s="39">
        <v>0.82</v>
      </c>
      <c r="AG13" s="42">
        <f t="shared" si="21"/>
        <v>0</v>
      </c>
      <c r="AH13" s="42">
        <f t="shared" si="22"/>
        <v>0</v>
      </c>
      <c r="AI13" s="39">
        <v>0.05</v>
      </c>
      <c r="AJ13" s="42">
        <f t="shared" si="23"/>
        <v>0</v>
      </c>
      <c r="AK13" s="42">
        <f t="shared" si="24"/>
        <v>0</v>
      </c>
      <c r="AL13" s="39">
        <v>0.76</v>
      </c>
      <c r="AM13" s="42">
        <f t="shared" si="25"/>
        <v>0</v>
      </c>
      <c r="AN13" s="42">
        <f t="shared" si="26"/>
        <v>0</v>
      </c>
      <c r="AO13" s="39">
        <v>0.05</v>
      </c>
      <c r="AP13" s="42">
        <f t="shared" si="27"/>
        <v>0</v>
      </c>
      <c r="AQ13" s="42">
        <f t="shared" si="28"/>
        <v>0</v>
      </c>
      <c r="AR13" s="39">
        <v>0.7</v>
      </c>
      <c r="AS13" s="42">
        <f t="shared" si="29"/>
        <v>0</v>
      </c>
      <c r="AT13" s="42">
        <f t="shared" si="30"/>
        <v>0</v>
      </c>
      <c r="AU13" s="39">
        <v>0.05</v>
      </c>
      <c r="AV13" s="42">
        <f t="shared" si="31"/>
        <v>0</v>
      </c>
      <c r="AW13" s="42">
        <f t="shared" si="32"/>
        <v>0</v>
      </c>
      <c r="AX13" s="39">
        <v>0.65</v>
      </c>
      <c r="AY13" s="42">
        <f t="shared" si="33"/>
        <v>0</v>
      </c>
      <c r="AZ13" s="42">
        <f t="shared" si="34"/>
        <v>0</v>
      </c>
      <c r="BA13" s="39">
        <v>0.05</v>
      </c>
      <c r="BB13" s="42">
        <f t="shared" si="35"/>
        <v>0</v>
      </c>
      <c r="BC13" s="42">
        <f t="shared" si="36"/>
        <v>0</v>
      </c>
      <c r="BD13" s="67">
        <v>0.35</v>
      </c>
      <c r="BE13" s="42">
        <f t="shared" si="37"/>
        <v>0</v>
      </c>
      <c r="BF13" s="42">
        <f t="shared" si="38"/>
        <v>0</v>
      </c>
      <c r="BG13" s="39">
        <v>0.05</v>
      </c>
      <c r="BH13" s="42">
        <f t="shared" si="39"/>
        <v>0</v>
      </c>
      <c r="BI13" s="42">
        <f t="shared" si="40"/>
        <v>0</v>
      </c>
      <c r="BN13" s="25"/>
      <c r="BO13" s="19"/>
      <c r="BP13" s="12"/>
    </row>
    <row r="14" spans="2:68" x14ac:dyDescent="0.25">
      <c r="B14" s="13"/>
      <c r="C14" s="14" t="s">
        <v>16</v>
      </c>
      <c r="D14" s="15"/>
      <c r="E14" s="16"/>
      <c r="F14" s="29"/>
      <c r="G14" s="30"/>
      <c r="H14" s="41">
        <v>0.21</v>
      </c>
      <c r="I14" s="42">
        <f t="shared" si="5"/>
        <v>0</v>
      </c>
      <c r="J14" s="43">
        <f t="shared" si="6"/>
        <v>0</v>
      </c>
      <c r="K14" s="41">
        <v>0.05</v>
      </c>
      <c r="L14" s="42">
        <f t="shared" si="7"/>
        <v>0</v>
      </c>
      <c r="M14" s="45">
        <f t="shared" si="8"/>
        <v>0</v>
      </c>
      <c r="N14" s="39">
        <v>0.85</v>
      </c>
      <c r="O14" s="42">
        <f t="shared" si="9"/>
        <v>0</v>
      </c>
      <c r="P14" s="42">
        <f t="shared" si="10"/>
        <v>0</v>
      </c>
      <c r="Q14" s="39">
        <v>0.05</v>
      </c>
      <c r="R14" s="42">
        <f t="shared" si="11"/>
        <v>0</v>
      </c>
      <c r="S14" s="43">
        <f t="shared" si="12"/>
        <v>0</v>
      </c>
      <c r="T14" s="39">
        <v>0.84</v>
      </c>
      <c r="U14" s="42">
        <f t="shared" si="13"/>
        <v>0</v>
      </c>
      <c r="V14" s="42">
        <f t="shared" si="14"/>
        <v>0</v>
      </c>
      <c r="W14" s="39">
        <v>0.05</v>
      </c>
      <c r="X14" s="42">
        <f t="shared" si="15"/>
        <v>0</v>
      </c>
      <c r="Y14" s="42">
        <f t="shared" si="16"/>
        <v>0</v>
      </c>
      <c r="Z14" s="39">
        <v>0.83</v>
      </c>
      <c r="AA14" s="42">
        <f t="shared" si="17"/>
        <v>0</v>
      </c>
      <c r="AB14" s="42">
        <f t="shared" si="18"/>
        <v>0</v>
      </c>
      <c r="AC14" s="39">
        <v>0.05</v>
      </c>
      <c r="AD14" s="42">
        <f t="shared" si="19"/>
        <v>0</v>
      </c>
      <c r="AE14" s="42">
        <f t="shared" si="20"/>
        <v>0</v>
      </c>
      <c r="AF14" s="39">
        <v>0.82</v>
      </c>
      <c r="AG14" s="42">
        <f t="shared" si="21"/>
        <v>0</v>
      </c>
      <c r="AH14" s="42">
        <f t="shared" si="22"/>
        <v>0</v>
      </c>
      <c r="AI14" s="39">
        <v>0.05</v>
      </c>
      <c r="AJ14" s="42">
        <f t="shared" si="23"/>
        <v>0</v>
      </c>
      <c r="AK14" s="42">
        <f t="shared" si="24"/>
        <v>0</v>
      </c>
      <c r="AL14" s="39">
        <v>0.76</v>
      </c>
      <c r="AM14" s="42">
        <f t="shared" si="25"/>
        <v>0</v>
      </c>
      <c r="AN14" s="42">
        <f t="shared" si="26"/>
        <v>0</v>
      </c>
      <c r="AO14" s="39">
        <v>0.05</v>
      </c>
      <c r="AP14" s="42">
        <f t="shared" si="27"/>
        <v>0</v>
      </c>
      <c r="AQ14" s="42">
        <f t="shared" si="28"/>
        <v>0</v>
      </c>
      <c r="AR14" s="39">
        <v>0.7</v>
      </c>
      <c r="AS14" s="42">
        <f t="shared" si="29"/>
        <v>0</v>
      </c>
      <c r="AT14" s="42">
        <f t="shared" si="30"/>
        <v>0</v>
      </c>
      <c r="AU14" s="39">
        <v>0.05</v>
      </c>
      <c r="AV14" s="42">
        <f t="shared" si="31"/>
        <v>0</v>
      </c>
      <c r="AW14" s="42">
        <f t="shared" si="32"/>
        <v>0</v>
      </c>
      <c r="AX14" s="39">
        <v>0.65</v>
      </c>
      <c r="AY14" s="42">
        <f t="shared" si="33"/>
        <v>0</v>
      </c>
      <c r="AZ14" s="42">
        <f t="shared" si="34"/>
        <v>0</v>
      </c>
      <c r="BA14" s="39">
        <v>0.05</v>
      </c>
      <c r="BB14" s="42">
        <f t="shared" si="35"/>
        <v>0</v>
      </c>
      <c r="BC14" s="42">
        <f t="shared" si="36"/>
        <v>0</v>
      </c>
      <c r="BD14" s="67">
        <v>0.35</v>
      </c>
      <c r="BE14" s="42">
        <f t="shared" si="37"/>
        <v>0</v>
      </c>
      <c r="BF14" s="42">
        <f t="shared" si="38"/>
        <v>0</v>
      </c>
      <c r="BG14" s="39">
        <v>0.05</v>
      </c>
      <c r="BH14" s="42">
        <f t="shared" si="39"/>
        <v>0</v>
      </c>
      <c r="BI14" s="42">
        <f t="shared" si="40"/>
        <v>0</v>
      </c>
      <c r="BN14" s="30"/>
      <c r="BO14" s="19"/>
      <c r="BP14" s="12"/>
    </row>
    <row r="15" spans="2:68" x14ac:dyDescent="0.25">
      <c r="B15" s="13">
        <f>+B12+1</f>
        <v>8</v>
      </c>
      <c r="C15" s="17" t="s">
        <v>17</v>
      </c>
      <c r="D15" s="61">
        <v>1</v>
      </c>
      <c r="E15" s="61">
        <v>1</v>
      </c>
      <c r="F15" s="24">
        <v>2</v>
      </c>
      <c r="G15" s="25">
        <v>470</v>
      </c>
      <c r="H15" s="41">
        <v>0.21</v>
      </c>
      <c r="I15" s="42">
        <f t="shared" si="5"/>
        <v>98.7</v>
      </c>
      <c r="J15" s="43">
        <f t="shared" si="6"/>
        <v>568.70000000000005</v>
      </c>
      <c r="K15" s="41">
        <v>0.05</v>
      </c>
      <c r="L15" s="42">
        <f t="shared" si="7"/>
        <v>28.435000000000002</v>
      </c>
      <c r="M15" s="45">
        <f t="shared" si="8"/>
        <v>597.13499999999999</v>
      </c>
      <c r="N15" s="39">
        <v>0.85</v>
      </c>
      <c r="O15" s="42">
        <f t="shared" si="9"/>
        <v>483.39500000000004</v>
      </c>
      <c r="P15" s="42">
        <f t="shared" si="10"/>
        <v>1052.095</v>
      </c>
      <c r="Q15" s="39">
        <v>0.05</v>
      </c>
      <c r="R15" s="42">
        <f t="shared" si="11"/>
        <v>52.604750000000003</v>
      </c>
      <c r="S15" s="43">
        <f t="shared" si="12"/>
        <v>1104.69975</v>
      </c>
      <c r="T15" s="39">
        <v>0.84</v>
      </c>
      <c r="U15" s="42">
        <f t="shared" si="13"/>
        <v>406.05180000000001</v>
      </c>
      <c r="V15" s="42">
        <f t="shared" si="14"/>
        <v>974.7518</v>
      </c>
      <c r="W15" s="39">
        <v>0.05</v>
      </c>
      <c r="X15" s="42">
        <f t="shared" si="15"/>
        <v>48.737590000000004</v>
      </c>
      <c r="Y15" s="42">
        <f t="shared" si="16"/>
        <v>1023.48939</v>
      </c>
      <c r="Z15" s="39">
        <v>0.83</v>
      </c>
      <c r="AA15" s="42">
        <f t="shared" si="17"/>
        <v>472.02100000000002</v>
      </c>
      <c r="AB15" s="42">
        <f t="shared" si="18"/>
        <v>1040.721</v>
      </c>
      <c r="AC15" s="39">
        <v>0.05</v>
      </c>
      <c r="AD15" s="42">
        <f t="shared" si="19"/>
        <v>52.036050000000003</v>
      </c>
      <c r="AE15" s="42">
        <f t="shared" si="20"/>
        <v>1092.7570499999999</v>
      </c>
      <c r="AF15" s="39">
        <v>0.82</v>
      </c>
      <c r="AG15" s="42">
        <f t="shared" si="21"/>
        <v>466.334</v>
      </c>
      <c r="AH15" s="42">
        <f t="shared" si="22"/>
        <v>1035.0340000000001</v>
      </c>
      <c r="AI15" s="39">
        <v>0.05</v>
      </c>
      <c r="AJ15" s="42">
        <f t="shared" si="23"/>
        <v>51.751700000000007</v>
      </c>
      <c r="AK15" s="42">
        <f t="shared" si="24"/>
        <v>1086.7857000000001</v>
      </c>
      <c r="AL15" s="39">
        <v>0.76</v>
      </c>
      <c r="AM15" s="42">
        <f t="shared" si="25"/>
        <v>432.21200000000005</v>
      </c>
      <c r="AN15" s="42">
        <f t="shared" si="26"/>
        <v>1000.912</v>
      </c>
      <c r="AO15" s="39">
        <v>0.05</v>
      </c>
      <c r="AP15" s="42">
        <f t="shared" si="27"/>
        <v>50.045600000000007</v>
      </c>
      <c r="AQ15" s="42">
        <f t="shared" si="28"/>
        <v>1050.9576</v>
      </c>
      <c r="AR15" s="39">
        <v>0.7</v>
      </c>
      <c r="AS15" s="42">
        <f t="shared" si="29"/>
        <v>398.09000000000003</v>
      </c>
      <c r="AT15" s="42">
        <f t="shared" si="30"/>
        <v>966.79000000000008</v>
      </c>
      <c r="AU15" s="39">
        <v>0.05</v>
      </c>
      <c r="AV15" s="42">
        <f t="shared" si="31"/>
        <v>48.339500000000008</v>
      </c>
      <c r="AW15" s="42">
        <f t="shared" si="32"/>
        <v>1015.1295000000001</v>
      </c>
      <c r="AX15" s="39">
        <v>0.65</v>
      </c>
      <c r="AY15" s="42">
        <f t="shared" si="33"/>
        <v>369.65500000000003</v>
      </c>
      <c r="AZ15" s="42">
        <f t="shared" si="34"/>
        <v>938.35500000000002</v>
      </c>
      <c r="BA15" s="39">
        <v>0.05</v>
      </c>
      <c r="BB15" s="42">
        <f t="shared" si="35"/>
        <v>46.917750000000005</v>
      </c>
      <c r="BC15" s="42">
        <f t="shared" si="36"/>
        <v>985.27274999999997</v>
      </c>
      <c r="BD15" s="67">
        <v>0.35</v>
      </c>
      <c r="BE15" s="42">
        <f t="shared" si="37"/>
        <v>199.04500000000002</v>
      </c>
      <c r="BF15" s="42">
        <f t="shared" si="38"/>
        <v>767.74500000000012</v>
      </c>
      <c r="BG15" s="39">
        <v>0.05</v>
      </c>
      <c r="BH15" s="42">
        <f t="shared" si="39"/>
        <v>38.387250000000009</v>
      </c>
      <c r="BI15" s="42">
        <f t="shared" si="40"/>
        <v>806.13225000000011</v>
      </c>
      <c r="BN15" s="25">
        <f t="shared" ref="BN15:BN21" si="41">+G15*5%</f>
        <v>23.5</v>
      </c>
      <c r="BO15" s="19">
        <f t="shared" ref="BO15:BO21" si="42">+G15+BN15</f>
        <v>493.5</v>
      </c>
      <c r="BP15" s="12">
        <f t="shared" ref="BP15:BP61" si="43">+F15*BO15</f>
        <v>987</v>
      </c>
    </row>
    <row r="16" spans="2:68" x14ac:dyDescent="0.25">
      <c r="B16" s="13">
        <f t="shared" ref="B16:B21" si="44">+B15+1</f>
        <v>9</v>
      </c>
      <c r="C16" s="17" t="s">
        <v>18</v>
      </c>
      <c r="D16" s="61">
        <v>1</v>
      </c>
      <c r="E16" s="61">
        <v>1</v>
      </c>
      <c r="F16" s="26">
        <f t="shared" ref="F16:F20" si="45">+D16+E16</f>
        <v>2</v>
      </c>
      <c r="G16" s="25">
        <v>470</v>
      </c>
      <c r="H16" s="41">
        <v>0.21</v>
      </c>
      <c r="I16" s="42">
        <f t="shared" si="5"/>
        <v>98.7</v>
      </c>
      <c r="J16" s="43">
        <f t="shared" si="6"/>
        <v>568.70000000000005</v>
      </c>
      <c r="K16" s="41">
        <v>0.05</v>
      </c>
      <c r="L16" s="42">
        <f t="shared" si="7"/>
        <v>28.435000000000002</v>
      </c>
      <c r="M16" s="45">
        <f t="shared" si="8"/>
        <v>597.13499999999999</v>
      </c>
      <c r="N16" s="39">
        <v>0.85</v>
      </c>
      <c r="O16" s="42">
        <f t="shared" si="9"/>
        <v>483.39500000000004</v>
      </c>
      <c r="P16" s="42">
        <f t="shared" si="10"/>
        <v>1052.095</v>
      </c>
      <c r="Q16" s="39">
        <v>0.05</v>
      </c>
      <c r="R16" s="42">
        <f t="shared" si="11"/>
        <v>52.604750000000003</v>
      </c>
      <c r="S16" s="43">
        <f t="shared" si="12"/>
        <v>1104.69975</v>
      </c>
      <c r="T16" s="39">
        <v>0.84</v>
      </c>
      <c r="U16" s="42">
        <f t="shared" si="13"/>
        <v>406.05180000000001</v>
      </c>
      <c r="V16" s="42">
        <f t="shared" si="14"/>
        <v>974.7518</v>
      </c>
      <c r="W16" s="39">
        <v>0.05</v>
      </c>
      <c r="X16" s="42">
        <f t="shared" si="15"/>
        <v>48.737590000000004</v>
      </c>
      <c r="Y16" s="42">
        <f t="shared" si="16"/>
        <v>1023.48939</v>
      </c>
      <c r="Z16" s="39">
        <v>0.83</v>
      </c>
      <c r="AA16" s="42">
        <f t="shared" si="17"/>
        <v>472.02100000000002</v>
      </c>
      <c r="AB16" s="42">
        <f t="shared" si="18"/>
        <v>1040.721</v>
      </c>
      <c r="AC16" s="39">
        <v>0.05</v>
      </c>
      <c r="AD16" s="42">
        <f t="shared" si="19"/>
        <v>52.036050000000003</v>
      </c>
      <c r="AE16" s="42">
        <f t="shared" si="20"/>
        <v>1092.7570499999999</v>
      </c>
      <c r="AF16" s="39">
        <v>0.82</v>
      </c>
      <c r="AG16" s="42">
        <f t="shared" si="21"/>
        <v>466.334</v>
      </c>
      <c r="AH16" s="42">
        <f t="shared" si="22"/>
        <v>1035.0340000000001</v>
      </c>
      <c r="AI16" s="39">
        <v>0.05</v>
      </c>
      <c r="AJ16" s="42">
        <f t="shared" si="23"/>
        <v>51.751700000000007</v>
      </c>
      <c r="AK16" s="42">
        <f t="shared" si="24"/>
        <v>1086.7857000000001</v>
      </c>
      <c r="AL16" s="39">
        <v>0.76</v>
      </c>
      <c r="AM16" s="42">
        <f t="shared" si="25"/>
        <v>432.21200000000005</v>
      </c>
      <c r="AN16" s="42">
        <f t="shared" si="26"/>
        <v>1000.912</v>
      </c>
      <c r="AO16" s="39">
        <v>0.05</v>
      </c>
      <c r="AP16" s="42">
        <f t="shared" si="27"/>
        <v>50.045600000000007</v>
      </c>
      <c r="AQ16" s="42">
        <f t="shared" si="28"/>
        <v>1050.9576</v>
      </c>
      <c r="AR16" s="39">
        <v>0.7</v>
      </c>
      <c r="AS16" s="42">
        <f t="shared" si="29"/>
        <v>398.09000000000003</v>
      </c>
      <c r="AT16" s="42">
        <f t="shared" si="30"/>
        <v>966.79000000000008</v>
      </c>
      <c r="AU16" s="39">
        <v>0.05</v>
      </c>
      <c r="AV16" s="42">
        <f t="shared" si="31"/>
        <v>48.339500000000008</v>
      </c>
      <c r="AW16" s="42">
        <f t="shared" si="32"/>
        <v>1015.1295000000001</v>
      </c>
      <c r="AX16" s="39">
        <v>0.65</v>
      </c>
      <c r="AY16" s="42">
        <f t="shared" si="33"/>
        <v>369.65500000000003</v>
      </c>
      <c r="AZ16" s="42">
        <f t="shared" si="34"/>
        <v>938.35500000000002</v>
      </c>
      <c r="BA16" s="39">
        <v>0.05</v>
      </c>
      <c r="BB16" s="42">
        <f t="shared" si="35"/>
        <v>46.917750000000005</v>
      </c>
      <c r="BC16" s="42">
        <f t="shared" si="36"/>
        <v>985.27274999999997</v>
      </c>
      <c r="BD16" s="67">
        <v>0.35</v>
      </c>
      <c r="BE16" s="42">
        <f t="shared" si="37"/>
        <v>199.04500000000002</v>
      </c>
      <c r="BF16" s="42">
        <f t="shared" si="38"/>
        <v>767.74500000000012</v>
      </c>
      <c r="BG16" s="39">
        <v>0.05</v>
      </c>
      <c r="BH16" s="42">
        <f t="shared" si="39"/>
        <v>38.387250000000009</v>
      </c>
      <c r="BI16" s="42">
        <f t="shared" si="40"/>
        <v>806.13225000000011</v>
      </c>
      <c r="BN16" s="25">
        <f t="shared" si="41"/>
        <v>23.5</v>
      </c>
      <c r="BO16" s="19">
        <f t="shared" si="42"/>
        <v>493.5</v>
      </c>
      <c r="BP16" s="12">
        <f t="shared" si="43"/>
        <v>987</v>
      </c>
    </row>
    <row r="17" spans="2:68" x14ac:dyDescent="0.25">
      <c r="B17" s="13">
        <f t="shared" si="44"/>
        <v>10</v>
      </c>
      <c r="C17" s="17" t="s">
        <v>19</v>
      </c>
      <c r="D17" s="61">
        <v>1</v>
      </c>
      <c r="E17" s="61">
        <v>1</v>
      </c>
      <c r="F17" s="26">
        <f t="shared" si="45"/>
        <v>2</v>
      </c>
      <c r="G17" s="25">
        <v>470</v>
      </c>
      <c r="H17" s="41">
        <v>0.21</v>
      </c>
      <c r="I17" s="42">
        <f t="shared" si="5"/>
        <v>98.7</v>
      </c>
      <c r="J17" s="43">
        <f t="shared" si="6"/>
        <v>568.70000000000005</v>
      </c>
      <c r="K17" s="41">
        <v>0.05</v>
      </c>
      <c r="L17" s="42">
        <f t="shared" si="7"/>
        <v>28.435000000000002</v>
      </c>
      <c r="M17" s="45">
        <f t="shared" si="8"/>
        <v>597.13499999999999</v>
      </c>
      <c r="N17" s="39">
        <v>0.85</v>
      </c>
      <c r="O17" s="42">
        <f t="shared" si="9"/>
        <v>483.39500000000004</v>
      </c>
      <c r="P17" s="42">
        <f t="shared" si="10"/>
        <v>1052.095</v>
      </c>
      <c r="Q17" s="39">
        <v>0.05</v>
      </c>
      <c r="R17" s="42">
        <f t="shared" si="11"/>
        <v>52.604750000000003</v>
      </c>
      <c r="S17" s="43">
        <f t="shared" si="12"/>
        <v>1104.69975</v>
      </c>
      <c r="T17" s="39">
        <v>0.84</v>
      </c>
      <c r="U17" s="42">
        <f t="shared" si="13"/>
        <v>406.05180000000001</v>
      </c>
      <c r="V17" s="42">
        <f t="shared" si="14"/>
        <v>974.7518</v>
      </c>
      <c r="W17" s="39">
        <v>0.05</v>
      </c>
      <c r="X17" s="42">
        <f t="shared" si="15"/>
        <v>48.737590000000004</v>
      </c>
      <c r="Y17" s="42">
        <f t="shared" si="16"/>
        <v>1023.48939</v>
      </c>
      <c r="Z17" s="39">
        <v>0.83</v>
      </c>
      <c r="AA17" s="42">
        <f t="shared" si="17"/>
        <v>472.02100000000002</v>
      </c>
      <c r="AB17" s="42">
        <f t="shared" si="18"/>
        <v>1040.721</v>
      </c>
      <c r="AC17" s="39">
        <v>0.05</v>
      </c>
      <c r="AD17" s="42">
        <f t="shared" si="19"/>
        <v>52.036050000000003</v>
      </c>
      <c r="AE17" s="42">
        <f t="shared" si="20"/>
        <v>1092.7570499999999</v>
      </c>
      <c r="AF17" s="39">
        <v>0.82</v>
      </c>
      <c r="AG17" s="42">
        <f t="shared" si="21"/>
        <v>466.334</v>
      </c>
      <c r="AH17" s="42">
        <f t="shared" si="22"/>
        <v>1035.0340000000001</v>
      </c>
      <c r="AI17" s="39">
        <v>0.05</v>
      </c>
      <c r="AJ17" s="42">
        <f t="shared" si="23"/>
        <v>51.751700000000007</v>
      </c>
      <c r="AK17" s="42">
        <f t="shared" si="24"/>
        <v>1086.7857000000001</v>
      </c>
      <c r="AL17" s="39">
        <v>0.76</v>
      </c>
      <c r="AM17" s="42">
        <f t="shared" si="25"/>
        <v>432.21200000000005</v>
      </c>
      <c r="AN17" s="42">
        <f t="shared" si="26"/>
        <v>1000.912</v>
      </c>
      <c r="AO17" s="39">
        <v>0.05</v>
      </c>
      <c r="AP17" s="42">
        <f t="shared" si="27"/>
        <v>50.045600000000007</v>
      </c>
      <c r="AQ17" s="42">
        <f t="shared" si="28"/>
        <v>1050.9576</v>
      </c>
      <c r="AR17" s="39">
        <v>0.7</v>
      </c>
      <c r="AS17" s="42">
        <f t="shared" si="29"/>
        <v>398.09000000000003</v>
      </c>
      <c r="AT17" s="42">
        <f t="shared" si="30"/>
        <v>966.79000000000008</v>
      </c>
      <c r="AU17" s="39">
        <v>0.05</v>
      </c>
      <c r="AV17" s="42">
        <f t="shared" si="31"/>
        <v>48.339500000000008</v>
      </c>
      <c r="AW17" s="42">
        <f t="shared" si="32"/>
        <v>1015.1295000000001</v>
      </c>
      <c r="AX17" s="39">
        <v>0.65</v>
      </c>
      <c r="AY17" s="42">
        <f t="shared" si="33"/>
        <v>369.65500000000003</v>
      </c>
      <c r="AZ17" s="42">
        <f t="shared" si="34"/>
        <v>938.35500000000002</v>
      </c>
      <c r="BA17" s="39">
        <v>0.05</v>
      </c>
      <c r="BB17" s="42">
        <f t="shared" si="35"/>
        <v>46.917750000000005</v>
      </c>
      <c r="BC17" s="42">
        <f t="shared" si="36"/>
        <v>985.27274999999997</v>
      </c>
      <c r="BD17" s="67">
        <v>0.35</v>
      </c>
      <c r="BE17" s="42">
        <f t="shared" si="37"/>
        <v>199.04500000000002</v>
      </c>
      <c r="BF17" s="42">
        <f t="shared" si="38"/>
        <v>767.74500000000012</v>
      </c>
      <c r="BG17" s="39">
        <v>0.05</v>
      </c>
      <c r="BH17" s="42">
        <f t="shared" si="39"/>
        <v>38.387250000000009</v>
      </c>
      <c r="BI17" s="42">
        <f t="shared" si="40"/>
        <v>806.13225000000011</v>
      </c>
      <c r="BN17" s="25">
        <f t="shared" si="41"/>
        <v>23.5</v>
      </c>
      <c r="BO17" s="19">
        <f t="shared" si="42"/>
        <v>493.5</v>
      </c>
      <c r="BP17" s="12">
        <f t="shared" si="43"/>
        <v>987</v>
      </c>
    </row>
    <row r="18" spans="2:68" x14ac:dyDescent="0.25">
      <c r="B18" s="13">
        <f t="shared" si="44"/>
        <v>11</v>
      </c>
      <c r="C18" s="17" t="s">
        <v>20</v>
      </c>
      <c r="D18" s="61">
        <v>1</v>
      </c>
      <c r="E18" s="61">
        <v>1</v>
      </c>
      <c r="F18" s="26">
        <f t="shared" si="45"/>
        <v>2</v>
      </c>
      <c r="G18" s="25">
        <v>470</v>
      </c>
      <c r="H18" s="41">
        <v>0.21</v>
      </c>
      <c r="I18" s="42">
        <f t="shared" si="5"/>
        <v>98.7</v>
      </c>
      <c r="J18" s="43">
        <f t="shared" si="6"/>
        <v>568.70000000000005</v>
      </c>
      <c r="K18" s="41">
        <v>0.05</v>
      </c>
      <c r="L18" s="42">
        <f t="shared" si="7"/>
        <v>28.435000000000002</v>
      </c>
      <c r="M18" s="45">
        <f t="shared" si="8"/>
        <v>597.13499999999999</v>
      </c>
      <c r="N18" s="39">
        <v>0.85</v>
      </c>
      <c r="O18" s="42">
        <f t="shared" si="9"/>
        <v>483.39500000000004</v>
      </c>
      <c r="P18" s="42">
        <f t="shared" si="10"/>
        <v>1052.095</v>
      </c>
      <c r="Q18" s="39">
        <v>0.05</v>
      </c>
      <c r="R18" s="42">
        <f t="shared" si="11"/>
        <v>52.604750000000003</v>
      </c>
      <c r="S18" s="43">
        <f t="shared" si="12"/>
        <v>1104.69975</v>
      </c>
      <c r="T18" s="39">
        <v>0.84</v>
      </c>
      <c r="U18" s="42">
        <f t="shared" si="13"/>
        <v>406.05180000000001</v>
      </c>
      <c r="V18" s="42">
        <f t="shared" si="14"/>
        <v>974.7518</v>
      </c>
      <c r="W18" s="39">
        <v>0.05</v>
      </c>
      <c r="X18" s="42">
        <f t="shared" si="15"/>
        <v>48.737590000000004</v>
      </c>
      <c r="Y18" s="42">
        <f t="shared" si="16"/>
        <v>1023.48939</v>
      </c>
      <c r="Z18" s="39">
        <v>0.83</v>
      </c>
      <c r="AA18" s="42">
        <f t="shared" si="17"/>
        <v>472.02100000000002</v>
      </c>
      <c r="AB18" s="42">
        <f t="shared" si="18"/>
        <v>1040.721</v>
      </c>
      <c r="AC18" s="39">
        <v>0.05</v>
      </c>
      <c r="AD18" s="42">
        <f t="shared" si="19"/>
        <v>52.036050000000003</v>
      </c>
      <c r="AE18" s="42">
        <f t="shared" si="20"/>
        <v>1092.7570499999999</v>
      </c>
      <c r="AF18" s="39">
        <v>0.82</v>
      </c>
      <c r="AG18" s="42">
        <f t="shared" si="21"/>
        <v>466.334</v>
      </c>
      <c r="AH18" s="42">
        <f t="shared" si="22"/>
        <v>1035.0340000000001</v>
      </c>
      <c r="AI18" s="39">
        <v>0.05</v>
      </c>
      <c r="AJ18" s="42">
        <f t="shared" si="23"/>
        <v>51.751700000000007</v>
      </c>
      <c r="AK18" s="42">
        <f t="shared" si="24"/>
        <v>1086.7857000000001</v>
      </c>
      <c r="AL18" s="39">
        <v>0.76</v>
      </c>
      <c r="AM18" s="42">
        <f t="shared" si="25"/>
        <v>432.21200000000005</v>
      </c>
      <c r="AN18" s="42">
        <f t="shared" si="26"/>
        <v>1000.912</v>
      </c>
      <c r="AO18" s="39">
        <v>0.05</v>
      </c>
      <c r="AP18" s="42">
        <f t="shared" si="27"/>
        <v>50.045600000000007</v>
      </c>
      <c r="AQ18" s="42">
        <f t="shared" si="28"/>
        <v>1050.9576</v>
      </c>
      <c r="AR18" s="39">
        <v>0.7</v>
      </c>
      <c r="AS18" s="42">
        <f t="shared" si="29"/>
        <v>398.09000000000003</v>
      </c>
      <c r="AT18" s="42">
        <f t="shared" si="30"/>
        <v>966.79000000000008</v>
      </c>
      <c r="AU18" s="39">
        <v>0.05</v>
      </c>
      <c r="AV18" s="42">
        <f t="shared" si="31"/>
        <v>48.339500000000008</v>
      </c>
      <c r="AW18" s="42">
        <f t="shared" si="32"/>
        <v>1015.1295000000001</v>
      </c>
      <c r="AX18" s="39">
        <v>0.65</v>
      </c>
      <c r="AY18" s="42">
        <f t="shared" si="33"/>
        <v>369.65500000000003</v>
      </c>
      <c r="AZ18" s="42">
        <f t="shared" si="34"/>
        <v>938.35500000000002</v>
      </c>
      <c r="BA18" s="39">
        <v>0.05</v>
      </c>
      <c r="BB18" s="42">
        <f t="shared" si="35"/>
        <v>46.917750000000005</v>
      </c>
      <c r="BC18" s="42">
        <f t="shared" si="36"/>
        <v>985.27274999999997</v>
      </c>
      <c r="BD18" s="67">
        <v>0.35</v>
      </c>
      <c r="BE18" s="42">
        <f t="shared" si="37"/>
        <v>199.04500000000002</v>
      </c>
      <c r="BF18" s="42">
        <f t="shared" si="38"/>
        <v>767.74500000000012</v>
      </c>
      <c r="BG18" s="39">
        <v>0.05</v>
      </c>
      <c r="BH18" s="42">
        <f t="shared" si="39"/>
        <v>38.387250000000009</v>
      </c>
      <c r="BI18" s="42">
        <f t="shared" si="40"/>
        <v>806.13225000000011</v>
      </c>
      <c r="BN18" s="25">
        <f t="shared" si="41"/>
        <v>23.5</v>
      </c>
      <c r="BO18" s="19">
        <f t="shared" si="42"/>
        <v>493.5</v>
      </c>
      <c r="BP18" s="12">
        <f t="shared" si="43"/>
        <v>987</v>
      </c>
    </row>
    <row r="19" spans="2:68" x14ac:dyDescent="0.25">
      <c r="B19" s="13">
        <f t="shared" si="44"/>
        <v>12</v>
      </c>
      <c r="C19" s="17" t="s">
        <v>21</v>
      </c>
      <c r="D19" s="61">
        <v>1</v>
      </c>
      <c r="E19" s="61">
        <v>1</v>
      </c>
      <c r="F19" s="26">
        <f t="shared" si="45"/>
        <v>2</v>
      </c>
      <c r="G19" s="25">
        <v>470</v>
      </c>
      <c r="H19" s="41">
        <v>0.21</v>
      </c>
      <c r="I19" s="42">
        <f t="shared" si="5"/>
        <v>98.7</v>
      </c>
      <c r="J19" s="43">
        <f t="shared" si="6"/>
        <v>568.70000000000005</v>
      </c>
      <c r="K19" s="41">
        <v>0.05</v>
      </c>
      <c r="L19" s="42">
        <f t="shared" si="7"/>
        <v>28.435000000000002</v>
      </c>
      <c r="M19" s="45">
        <f t="shared" si="8"/>
        <v>597.13499999999999</v>
      </c>
      <c r="N19" s="39">
        <v>0.85</v>
      </c>
      <c r="O19" s="42">
        <f t="shared" si="9"/>
        <v>483.39500000000004</v>
      </c>
      <c r="P19" s="42">
        <f t="shared" si="10"/>
        <v>1052.095</v>
      </c>
      <c r="Q19" s="39">
        <v>0.05</v>
      </c>
      <c r="R19" s="42">
        <f t="shared" si="11"/>
        <v>52.604750000000003</v>
      </c>
      <c r="S19" s="43">
        <f t="shared" si="12"/>
        <v>1104.69975</v>
      </c>
      <c r="T19" s="39">
        <v>0.84</v>
      </c>
      <c r="U19" s="42">
        <f t="shared" si="13"/>
        <v>406.05180000000001</v>
      </c>
      <c r="V19" s="42">
        <f t="shared" si="14"/>
        <v>974.7518</v>
      </c>
      <c r="W19" s="39">
        <v>0.05</v>
      </c>
      <c r="X19" s="42">
        <f t="shared" si="15"/>
        <v>48.737590000000004</v>
      </c>
      <c r="Y19" s="42">
        <f t="shared" si="16"/>
        <v>1023.48939</v>
      </c>
      <c r="Z19" s="39">
        <v>0.83</v>
      </c>
      <c r="AA19" s="42">
        <f t="shared" si="17"/>
        <v>472.02100000000002</v>
      </c>
      <c r="AB19" s="42">
        <f t="shared" si="18"/>
        <v>1040.721</v>
      </c>
      <c r="AC19" s="39">
        <v>0.05</v>
      </c>
      <c r="AD19" s="42">
        <f t="shared" si="19"/>
        <v>52.036050000000003</v>
      </c>
      <c r="AE19" s="42">
        <f t="shared" si="20"/>
        <v>1092.7570499999999</v>
      </c>
      <c r="AF19" s="39">
        <v>0.82</v>
      </c>
      <c r="AG19" s="42">
        <f t="shared" si="21"/>
        <v>466.334</v>
      </c>
      <c r="AH19" s="42">
        <f t="shared" si="22"/>
        <v>1035.0340000000001</v>
      </c>
      <c r="AI19" s="39">
        <v>0.05</v>
      </c>
      <c r="AJ19" s="42">
        <f t="shared" si="23"/>
        <v>51.751700000000007</v>
      </c>
      <c r="AK19" s="42">
        <f t="shared" si="24"/>
        <v>1086.7857000000001</v>
      </c>
      <c r="AL19" s="39">
        <v>0.76</v>
      </c>
      <c r="AM19" s="42">
        <f t="shared" si="25"/>
        <v>432.21200000000005</v>
      </c>
      <c r="AN19" s="42">
        <f t="shared" si="26"/>
        <v>1000.912</v>
      </c>
      <c r="AO19" s="39">
        <v>0.05</v>
      </c>
      <c r="AP19" s="42">
        <f t="shared" si="27"/>
        <v>50.045600000000007</v>
      </c>
      <c r="AQ19" s="42">
        <f t="shared" si="28"/>
        <v>1050.9576</v>
      </c>
      <c r="AR19" s="39">
        <v>0.7</v>
      </c>
      <c r="AS19" s="42">
        <f t="shared" si="29"/>
        <v>398.09000000000003</v>
      </c>
      <c r="AT19" s="42">
        <f t="shared" si="30"/>
        <v>966.79000000000008</v>
      </c>
      <c r="AU19" s="39">
        <v>0.05</v>
      </c>
      <c r="AV19" s="42">
        <f t="shared" si="31"/>
        <v>48.339500000000008</v>
      </c>
      <c r="AW19" s="42">
        <f t="shared" si="32"/>
        <v>1015.1295000000001</v>
      </c>
      <c r="AX19" s="39">
        <v>0.65</v>
      </c>
      <c r="AY19" s="42">
        <f t="shared" si="33"/>
        <v>369.65500000000003</v>
      </c>
      <c r="AZ19" s="42">
        <f t="shared" si="34"/>
        <v>938.35500000000002</v>
      </c>
      <c r="BA19" s="39">
        <v>0.05</v>
      </c>
      <c r="BB19" s="42">
        <f t="shared" si="35"/>
        <v>46.917750000000005</v>
      </c>
      <c r="BC19" s="42">
        <f t="shared" si="36"/>
        <v>985.27274999999997</v>
      </c>
      <c r="BD19" s="67">
        <v>0.35</v>
      </c>
      <c r="BE19" s="42">
        <f t="shared" si="37"/>
        <v>199.04500000000002</v>
      </c>
      <c r="BF19" s="42">
        <f t="shared" si="38"/>
        <v>767.74500000000012</v>
      </c>
      <c r="BG19" s="39">
        <v>0.05</v>
      </c>
      <c r="BH19" s="42">
        <f t="shared" si="39"/>
        <v>38.387250000000009</v>
      </c>
      <c r="BI19" s="42">
        <f t="shared" si="40"/>
        <v>806.13225000000011</v>
      </c>
      <c r="BN19" s="25">
        <f t="shared" si="41"/>
        <v>23.5</v>
      </c>
      <c r="BO19" s="19">
        <f t="shared" si="42"/>
        <v>493.5</v>
      </c>
      <c r="BP19" s="12">
        <f t="shared" si="43"/>
        <v>987</v>
      </c>
    </row>
    <row r="20" spans="2:68" x14ac:dyDescent="0.25">
      <c r="B20" s="13">
        <f t="shared" si="44"/>
        <v>13</v>
      </c>
      <c r="C20" s="17" t="s">
        <v>22</v>
      </c>
      <c r="D20" s="61">
        <v>1</v>
      </c>
      <c r="E20" s="61">
        <v>1</v>
      </c>
      <c r="F20" s="26">
        <f t="shared" si="45"/>
        <v>2</v>
      </c>
      <c r="G20" s="25">
        <v>470</v>
      </c>
      <c r="H20" s="41">
        <v>0.21</v>
      </c>
      <c r="I20" s="42">
        <f t="shared" si="5"/>
        <v>98.7</v>
      </c>
      <c r="J20" s="43">
        <f t="shared" si="6"/>
        <v>568.70000000000005</v>
      </c>
      <c r="K20" s="41">
        <v>0.05</v>
      </c>
      <c r="L20" s="42">
        <f t="shared" si="7"/>
        <v>28.435000000000002</v>
      </c>
      <c r="M20" s="45">
        <f t="shared" si="8"/>
        <v>597.13499999999999</v>
      </c>
      <c r="N20" s="39">
        <v>0.85</v>
      </c>
      <c r="O20" s="42">
        <f t="shared" si="9"/>
        <v>483.39500000000004</v>
      </c>
      <c r="P20" s="42">
        <f t="shared" si="10"/>
        <v>1052.095</v>
      </c>
      <c r="Q20" s="39">
        <v>0.05</v>
      </c>
      <c r="R20" s="42">
        <f t="shared" si="11"/>
        <v>52.604750000000003</v>
      </c>
      <c r="S20" s="43">
        <f t="shared" si="12"/>
        <v>1104.69975</v>
      </c>
      <c r="T20" s="39">
        <v>0.84</v>
      </c>
      <c r="U20" s="42">
        <f t="shared" si="13"/>
        <v>406.05180000000001</v>
      </c>
      <c r="V20" s="42">
        <f t="shared" si="14"/>
        <v>974.7518</v>
      </c>
      <c r="W20" s="39">
        <v>0.05</v>
      </c>
      <c r="X20" s="42">
        <f t="shared" si="15"/>
        <v>48.737590000000004</v>
      </c>
      <c r="Y20" s="42">
        <f t="shared" si="16"/>
        <v>1023.48939</v>
      </c>
      <c r="Z20" s="39">
        <v>0.83</v>
      </c>
      <c r="AA20" s="42">
        <f t="shared" si="17"/>
        <v>472.02100000000002</v>
      </c>
      <c r="AB20" s="42">
        <f t="shared" si="18"/>
        <v>1040.721</v>
      </c>
      <c r="AC20" s="39">
        <v>0.05</v>
      </c>
      <c r="AD20" s="42">
        <f t="shared" si="19"/>
        <v>52.036050000000003</v>
      </c>
      <c r="AE20" s="42">
        <f t="shared" si="20"/>
        <v>1092.7570499999999</v>
      </c>
      <c r="AF20" s="39">
        <v>0.82</v>
      </c>
      <c r="AG20" s="42">
        <f t="shared" si="21"/>
        <v>466.334</v>
      </c>
      <c r="AH20" s="42">
        <f t="shared" si="22"/>
        <v>1035.0340000000001</v>
      </c>
      <c r="AI20" s="39">
        <v>0.05</v>
      </c>
      <c r="AJ20" s="42">
        <f t="shared" si="23"/>
        <v>51.751700000000007</v>
      </c>
      <c r="AK20" s="42">
        <f t="shared" si="24"/>
        <v>1086.7857000000001</v>
      </c>
      <c r="AL20" s="39">
        <v>0.76</v>
      </c>
      <c r="AM20" s="42">
        <f t="shared" si="25"/>
        <v>432.21200000000005</v>
      </c>
      <c r="AN20" s="42">
        <f t="shared" si="26"/>
        <v>1000.912</v>
      </c>
      <c r="AO20" s="39">
        <v>0.05</v>
      </c>
      <c r="AP20" s="42">
        <f t="shared" si="27"/>
        <v>50.045600000000007</v>
      </c>
      <c r="AQ20" s="42">
        <f t="shared" si="28"/>
        <v>1050.9576</v>
      </c>
      <c r="AR20" s="39">
        <v>0.7</v>
      </c>
      <c r="AS20" s="42">
        <f t="shared" si="29"/>
        <v>398.09000000000003</v>
      </c>
      <c r="AT20" s="42">
        <f t="shared" si="30"/>
        <v>966.79000000000008</v>
      </c>
      <c r="AU20" s="39">
        <v>0.05</v>
      </c>
      <c r="AV20" s="42">
        <f t="shared" si="31"/>
        <v>48.339500000000008</v>
      </c>
      <c r="AW20" s="42">
        <f t="shared" si="32"/>
        <v>1015.1295000000001</v>
      </c>
      <c r="AX20" s="39">
        <v>0.65</v>
      </c>
      <c r="AY20" s="42">
        <f t="shared" si="33"/>
        <v>369.65500000000003</v>
      </c>
      <c r="AZ20" s="42">
        <f t="shared" si="34"/>
        <v>938.35500000000002</v>
      </c>
      <c r="BA20" s="39">
        <v>0.05</v>
      </c>
      <c r="BB20" s="42">
        <f t="shared" si="35"/>
        <v>46.917750000000005</v>
      </c>
      <c r="BC20" s="42">
        <f t="shared" si="36"/>
        <v>985.27274999999997</v>
      </c>
      <c r="BD20" s="67">
        <v>0.35</v>
      </c>
      <c r="BE20" s="42">
        <f t="shared" si="37"/>
        <v>199.04500000000002</v>
      </c>
      <c r="BF20" s="42">
        <f t="shared" si="38"/>
        <v>767.74500000000012</v>
      </c>
      <c r="BG20" s="39">
        <v>0.05</v>
      </c>
      <c r="BH20" s="42">
        <f t="shared" si="39"/>
        <v>38.387250000000009</v>
      </c>
      <c r="BI20" s="42">
        <f t="shared" si="40"/>
        <v>806.13225000000011</v>
      </c>
      <c r="BN20" s="25">
        <f t="shared" si="41"/>
        <v>23.5</v>
      </c>
      <c r="BO20" s="19">
        <f t="shared" si="42"/>
        <v>493.5</v>
      </c>
      <c r="BP20" s="12">
        <f t="shared" si="43"/>
        <v>987</v>
      </c>
    </row>
    <row r="21" spans="2:68" x14ac:dyDescent="0.25">
      <c r="B21" s="13">
        <f t="shared" si="44"/>
        <v>14</v>
      </c>
      <c r="C21" s="17" t="s">
        <v>23</v>
      </c>
      <c r="D21" s="61">
        <v>1</v>
      </c>
      <c r="E21" s="61">
        <v>1</v>
      </c>
      <c r="F21" s="26" t="s">
        <v>97</v>
      </c>
      <c r="G21" s="25">
        <v>470</v>
      </c>
      <c r="H21" s="41">
        <v>0.21</v>
      </c>
      <c r="I21" s="42">
        <f t="shared" si="5"/>
        <v>98.7</v>
      </c>
      <c r="J21" s="43">
        <f t="shared" si="6"/>
        <v>568.70000000000005</v>
      </c>
      <c r="K21" s="41">
        <v>0.05</v>
      </c>
      <c r="L21" s="42">
        <f t="shared" si="7"/>
        <v>28.435000000000002</v>
      </c>
      <c r="M21" s="45">
        <f t="shared" si="8"/>
        <v>597.13499999999999</v>
      </c>
      <c r="N21" s="39">
        <v>0.85</v>
      </c>
      <c r="O21" s="42">
        <f t="shared" si="9"/>
        <v>483.39500000000004</v>
      </c>
      <c r="P21" s="42">
        <f t="shared" si="10"/>
        <v>1052.095</v>
      </c>
      <c r="Q21" s="39">
        <v>0.05</v>
      </c>
      <c r="R21" s="42">
        <f t="shared" si="11"/>
        <v>52.604750000000003</v>
      </c>
      <c r="S21" s="43">
        <f t="shared" si="12"/>
        <v>1104.69975</v>
      </c>
      <c r="T21" s="39">
        <v>0.84</v>
      </c>
      <c r="U21" s="42">
        <f t="shared" si="13"/>
        <v>406.05180000000001</v>
      </c>
      <c r="V21" s="42">
        <f t="shared" si="14"/>
        <v>974.7518</v>
      </c>
      <c r="W21" s="39">
        <v>0.05</v>
      </c>
      <c r="X21" s="42">
        <f t="shared" si="15"/>
        <v>48.737590000000004</v>
      </c>
      <c r="Y21" s="42">
        <f t="shared" si="16"/>
        <v>1023.48939</v>
      </c>
      <c r="Z21" s="39">
        <v>0.83</v>
      </c>
      <c r="AA21" s="42">
        <f t="shared" si="17"/>
        <v>472.02100000000002</v>
      </c>
      <c r="AB21" s="42">
        <f t="shared" si="18"/>
        <v>1040.721</v>
      </c>
      <c r="AC21" s="39">
        <v>0.05</v>
      </c>
      <c r="AD21" s="42">
        <f t="shared" si="19"/>
        <v>52.036050000000003</v>
      </c>
      <c r="AE21" s="42">
        <f t="shared" si="20"/>
        <v>1092.7570499999999</v>
      </c>
      <c r="AF21" s="39">
        <v>0.82</v>
      </c>
      <c r="AG21" s="42">
        <f t="shared" si="21"/>
        <v>466.334</v>
      </c>
      <c r="AH21" s="42">
        <f t="shared" si="22"/>
        <v>1035.0340000000001</v>
      </c>
      <c r="AI21" s="39">
        <v>0.05</v>
      </c>
      <c r="AJ21" s="42">
        <f t="shared" si="23"/>
        <v>51.751700000000007</v>
      </c>
      <c r="AK21" s="42">
        <f t="shared" si="24"/>
        <v>1086.7857000000001</v>
      </c>
      <c r="AL21" s="39">
        <v>0.76</v>
      </c>
      <c r="AM21" s="42">
        <f t="shared" si="25"/>
        <v>432.21200000000005</v>
      </c>
      <c r="AN21" s="42">
        <f t="shared" si="26"/>
        <v>1000.912</v>
      </c>
      <c r="AO21" s="39">
        <v>0.05</v>
      </c>
      <c r="AP21" s="42">
        <f t="shared" si="27"/>
        <v>50.045600000000007</v>
      </c>
      <c r="AQ21" s="42">
        <f t="shared" si="28"/>
        <v>1050.9576</v>
      </c>
      <c r="AR21" s="39">
        <v>0.7</v>
      </c>
      <c r="AS21" s="42">
        <f t="shared" si="29"/>
        <v>398.09000000000003</v>
      </c>
      <c r="AT21" s="42">
        <f t="shared" si="30"/>
        <v>966.79000000000008</v>
      </c>
      <c r="AU21" s="39">
        <v>0.05</v>
      </c>
      <c r="AV21" s="42">
        <f t="shared" si="31"/>
        <v>48.339500000000008</v>
      </c>
      <c r="AW21" s="42">
        <f t="shared" si="32"/>
        <v>1015.1295000000001</v>
      </c>
      <c r="AX21" s="39">
        <v>0.65</v>
      </c>
      <c r="AY21" s="42">
        <f t="shared" si="33"/>
        <v>369.65500000000003</v>
      </c>
      <c r="AZ21" s="42">
        <f t="shared" si="34"/>
        <v>938.35500000000002</v>
      </c>
      <c r="BA21" s="39">
        <v>0.05</v>
      </c>
      <c r="BB21" s="42">
        <f t="shared" si="35"/>
        <v>46.917750000000005</v>
      </c>
      <c r="BC21" s="42">
        <f t="shared" si="36"/>
        <v>985.27274999999997</v>
      </c>
      <c r="BD21" s="67">
        <v>0.35</v>
      </c>
      <c r="BE21" s="42">
        <f t="shared" si="37"/>
        <v>199.04500000000002</v>
      </c>
      <c r="BF21" s="42">
        <f t="shared" si="38"/>
        <v>767.74500000000012</v>
      </c>
      <c r="BG21" s="39">
        <v>0.05</v>
      </c>
      <c r="BH21" s="42">
        <f t="shared" si="39"/>
        <v>38.387250000000009</v>
      </c>
      <c r="BI21" s="42">
        <f t="shared" si="40"/>
        <v>806.13225000000011</v>
      </c>
      <c r="BN21" s="25">
        <f t="shared" si="41"/>
        <v>23.5</v>
      </c>
      <c r="BO21" s="19">
        <f t="shared" si="42"/>
        <v>493.5</v>
      </c>
      <c r="BP21" s="12" t="e">
        <f t="shared" si="43"/>
        <v>#VALUE!</v>
      </c>
    </row>
    <row r="22" spans="2:68" x14ac:dyDescent="0.25">
      <c r="B22" s="13"/>
      <c r="C22" s="14" t="s">
        <v>16</v>
      </c>
      <c r="D22" s="15"/>
      <c r="E22" s="16"/>
      <c r="F22" s="17"/>
      <c r="G22" s="18"/>
      <c r="H22" s="41">
        <v>0.21</v>
      </c>
      <c r="I22" s="42">
        <f t="shared" si="5"/>
        <v>0</v>
      </c>
      <c r="J22" s="43">
        <f t="shared" si="6"/>
        <v>0</v>
      </c>
      <c r="K22" s="41">
        <v>0.05</v>
      </c>
      <c r="L22" s="42">
        <f t="shared" si="7"/>
        <v>0</v>
      </c>
      <c r="M22" s="45">
        <f t="shared" si="8"/>
        <v>0</v>
      </c>
      <c r="N22" s="39">
        <v>0.85</v>
      </c>
      <c r="O22" s="42">
        <f t="shared" si="9"/>
        <v>0</v>
      </c>
      <c r="P22" s="42">
        <f t="shared" si="10"/>
        <v>0</v>
      </c>
      <c r="Q22" s="39">
        <v>0.05</v>
      </c>
      <c r="R22" s="42">
        <f t="shared" si="11"/>
        <v>0</v>
      </c>
      <c r="S22" s="43">
        <f t="shared" si="12"/>
        <v>0</v>
      </c>
      <c r="T22" s="39">
        <v>0.84</v>
      </c>
      <c r="U22" s="42">
        <f t="shared" si="13"/>
        <v>0</v>
      </c>
      <c r="V22" s="42">
        <f t="shared" si="14"/>
        <v>0</v>
      </c>
      <c r="W22" s="39">
        <v>0.05</v>
      </c>
      <c r="X22" s="42">
        <f t="shared" si="15"/>
        <v>0</v>
      </c>
      <c r="Y22" s="42">
        <f t="shared" si="16"/>
        <v>0</v>
      </c>
      <c r="Z22" s="39">
        <v>0.83</v>
      </c>
      <c r="AA22" s="42">
        <f t="shared" si="17"/>
        <v>0</v>
      </c>
      <c r="AB22" s="42">
        <f t="shared" si="18"/>
        <v>0</v>
      </c>
      <c r="AC22" s="39">
        <v>0.05</v>
      </c>
      <c r="AD22" s="42">
        <f t="shared" si="19"/>
        <v>0</v>
      </c>
      <c r="AE22" s="42">
        <f t="shared" si="20"/>
        <v>0</v>
      </c>
      <c r="AF22" s="39">
        <v>0.82</v>
      </c>
      <c r="AG22" s="42">
        <f t="shared" si="21"/>
        <v>0</v>
      </c>
      <c r="AH22" s="42">
        <f t="shared" si="22"/>
        <v>0</v>
      </c>
      <c r="AI22" s="39">
        <v>0.05</v>
      </c>
      <c r="AJ22" s="42">
        <f t="shared" si="23"/>
        <v>0</v>
      </c>
      <c r="AK22" s="42">
        <f t="shared" si="24"/>
        <v>0</v>
      </c>
      <c r="AL22" s="39">
        <v>0.76</v>
      </c>
      <c r="AM22" s="42">
        <f t="shared" si="25"/>
        <v>0</v>
      </c>
      <c r="AN22" s="42">
        <f t="shared" si="26"/>
        <v>0</v>
      </c>
      <c r="AO22" s="39">
        <v>0.05</v>
      </c>
      <c r="AP22" s="42">
        <f t="shared" si="27"/>
        <v>0</v>
      </c>
      <c r="AQ22" s="42">
        <f t="shared" si="28"/>
        <v>0</v>
      </c>
      <c r="AR22" s="39">
        <v>0.7</v>
      </c>
      <c r="AS22" s="42">
        <f t="shared" si="29"/>
        <v>0</v>
      </c>
      <c r="AT22" s="42">
        <f t="shared" si="30"/>
        <v>0</v>
      </c>
      <c r="AU22" s="39">
        <v>0.05</v>
      </c>
      <c r="AV22" s="42">
        <f t="shared" si="31"/>
        <v>0</v>
      </c>
      <c r="AW22" s="42">
        <f t="shared" si="32"/>
        <v>0</v>
      </c>
      <c r="AX22" s="39">
        <v>0.65</v>
      </c>
      <c r="AY22" s="42">
        <f t="shared" si="33"/>
        <v>0</v>
      </c>
      <c r="AZ22" s="42">
        <f t="shared" si="34"/>
        <v>0</v>
      </c>
      <c r="BA22" s="39">
        <v>0.05</v>
      </c>
      <c r="BB22" s="42">
        <f t="shared" si="35"/>
        <v>0</v>
      </c>
      <c r="BC22" s="42">
        <f t="shared" si="36"/>
        <v>0</v>
      </c>
      <c r="BD22" s="67">
        <v>0.35</v>
      </c>
      <c r="BE22" s="42">
        <f t="shared" si="37"/>
        <v>0</v>
      </c>
      <c r="BF22" s="42">
        <f t="shared" si="38"/>
        <v>0</v>
      </c>
      <c r="BG22" s="39">
        <v>0.05</v>
      </c>
      <c r="BH22" s="42">
        <f t="shared" si="39"/>
        <v>0</v>
      </c>
      <c r="BI22" s="42">
        <f t="shared" si="40"/>
        <v>0</v>
      </c>
      <c r="BN22" s="18"/>
      <c r="BO22" s="19"/>
      <c r="BP22" s="12">
        <f t="shared" si="43"/>
        <v>0</v>
      </c>
    </row>
    <row r="23" spans="2:68" x14ac:dyDescent="0.25">
      <c r="B23" s="13">
        <f>+B21+1</f>
        <v>15</v>
      </c>
      <c r="C23" s="17" t="s">
        <v>24</v>
      </c>
      <c r="D23" s="61">
        <v>1</v>
      </c>
      <c r="E23" s="61">
        <v>1</v>
      </c>
      <c r="F23" s="26">
        <f>D23+E23</f>
        <v>2</v>
      </c>
      <c r="G23" s="25">
        <v>470</v>
      </c>
      <c r="H23" s="41">
        <v>0.21</v>
      </c>
      <c r="I23" s="42">
        <f t="shared" si="5"/>
        <v>98.7</v>
      </c>
      <c r="J23" s="43">
        <f t="shared" si="6"/>
        <v>568.70000000000005</v>
      </c>
      <c r="K23" s="41">
        <v>0.05</v>
      </c>
      <c r="L23" s="42">
        <f t="shared" si="7"/>
        <v>28.435000000000002</v>
      </c>
      <c r="M23" s="45">
        <f t="shared" si="8"/>
        <v>597.13499999999999</v>
      </c>
      <c r="N23" s="39">
        <v>0.85</v>
      </c>
      <c r="O23" s="42">
        <f t="shared" si="9"/>
        <v>483.39500000000004</v>
      </c>
      <c r="P23" s="42">
        <f t="shared" si="10"/>
        <v>1052.095</v>
      </c>
      <c r="Q23" s="39">
        <v>0.05</v>
      </c>
      <c r="R23" s="42">
        <f t="shared" si="11"/>
        <v>52.604750000000003</v>
      </c>
      <c r="S23" s="43">
        <f t="shared" si="12"/>
        <v>1104.69975</v>
      </c>
      <c r="T23" s="39">
        <v>0.84</v>
      </c>
      <c r="U23" s="42">
        <f t="shared" si="13"/>
        <v>406.05180000000001</v>
      </c>
      <c r="V23" s="42">
        <f t="shared" si="14"/>
        <v>974.7518</v>
      </c>
      <c r="W23" s="39">
        <v>0.05</v>
      </c>
      <c r="X23" s="42">
        <f t="shared" si="15"/>
        <v>48.737590000000004</v>
      </c>
      <c r="Y23" s="42">
        <f t="shared" si="16"/>
        <v>1023.48939</v>
      </c>
      <c r="Z23" s="39">
        <v>0.83</v>
      </c>
      <c r="AA23" s="42">
        <f t="shared" si="17"/>
        <v>472.02100000000002</v>
      </c>
      <c r="AB23" s="42">
        <f t="shared" si="18"/>
        <v>1040.721</v>
      </c>
      <c r="AC23" s="39">
        <v>0.05</v>
      </c>
      <c r="AD23" s="42">
        <f t="shared" si="19"/>
        <v>52.036050000000003</v>
      </c>
      <c r="AE23" s="42">
        <f t="shared" si="20"/>
        <v>1092.7570499999999</v>
      </c>
      <c r="AF23" s="39">
        <v>0.82</v>
      </c>
      <c r="AG23" s="42">
        <f t="shared" si="21"/>
        <v>466.334</v>
      </c>
      <c r="AH23" s="42">
        <f t="shared" si="22"/>
        <v>1035.0340000000001</v>
      </c>
      <c r="AI23" s="39">
        <v>0.05</v>
      </c>
      <c r="AJ23" s="42">
        <f t="shared" si="23"/>
        <v>51.751700000000007</v>
      </c>
      <c r="AK23" s="42">
        <f t="shared" si="24"/>
        <v>1086.7857000000001</v>
      </c>
      <c r="AL23" s="39">
        <v>0.76</v>
      </c>
      <c r="AM23" s="42">
        <f t="shared" si="25"/>
        <v>432.21200000000005</v>
      </c>
      <c r="AN23" s="42">
        <f t="shared" si="26"/>
        <v>1000.912</v>
      </c>
      <c r="AO23" s="39">
        <v>0.05</v>
      </c>
      <c r="AP23" s="42">
        <f t="shared" si="27"/>
        <v>50.045600000000007</v>
      </c>
      <c r="AQ23" s="42">
        <f t="shared" si="28"/>
        <v>1050.9576</v>
      </c>
      <c r="AR23" s="39">
        <v>0.7</v>
      </c>
      <c r="AS23" s="42">
        <f t="shared" si="29"/>
        <v>398.09000000000003</v>
      </c>
      <c r="AT23" s="42">
        <f t="shared" si="30"/>
        <v>966.79000000000008</v>
      </c>
      <c r="AU23" s="39">
        <v>0.05</v>
      </c>
      <c r="AV23" s="42">
        <f t="shared" si="31"/>
        <v>48.339500000000008</v>
      </c>
      <c r="AW23" s="42">
        <f t="shared" si="32"/>
        <v>1015.1295000000001</v>
      </c>
      <c r="AX23" s="39">
        <v>0.65</v>
      </c>
      <c r="AY23" s="42">
        <f t="shared" si="33"/>
        <v>369.65500000000003</v>
      </c>
      <c r="AZ23" s="42">
        <f t="shared" si="34"/>
        <v>938.35500000000002</v>
      </c>
      <c r="BA23" s="39">
        <v>0.05</v>
      </c>
      <c r="BB23" s="42">
        <f t="shared" si="35"/>
        <v>46.917750000000005</v>
      </c>
      <c r="BC23" s="42">
        <f t="shared" si="36"/>
        <v>985.27274999999997</v>
      </c>
      <c r="BD23" s="67">
        <v>0.35</v>
      </c>
      <c r="BE23" s="42">
        <f t="shared" si="37"/>
        <v>199.04500000000002</v>
      </c>
      <c r="BF23" s="42">
        <f t="shared" si="38"/>
        <v>767.74500000000012</v>
      </c>
      <c r="BG23" s="39">
        <v>0.05</v>
      </c>
      <c r="BH23" s="42">
        <f t="shared" si="39"/>
        <v>38.387250000000009</v>
      </c>
      <c r="BI23" s="42">
        <f t="shared" si="40"/>
        <v>806.13225000000011</v>
      </c>
      <c r="BN23" s="25">
        <f t="shared" ref="BN23:BN29" si="46">+G23*5%</f>
        <v>23.5</v>
      </c>
      <c r="BO23" s="19">
        <f t="shared" ref="BO23:BO29" si="47">+G23+BN23</f>
        <v>493.5</v>
      </c>
      <c r="BP23" s="12">
        <f t="shared" si="43"/>
        <v>987</v>
      </c>
    </row>
    <row r="24" spans="2:68" x14ac:dyDescent="0.25">
      <c r="B24" s="13">
        <f t="shared" ref="B24:B29" si="48">+B23+1</f>
        <v>16</v>
      </c>
      <c r="C24" s="17" t="s">
        <v>25</v>
      </c>
      <c r="D24" s="61">
        <v>1</v>
      </c>
      <c r="E24" s="61">
        <v>1</v>
      </c>
      <c r="F24" s="26">
        <f t="shared" ref="F24:F31" si="49">D24+E24</f>
        <v>2</v>
      </c>
      <c r="G24" s="25">
        <v>470</v>
      </c>
      <c r="H24" s="41">
        <v>0.21</v>
      </c>
      <c r="I24" s="42">
        <f t="shared" si="5"/>
        <v>98.7</v>
      </c>
      <c r="J24" s="43">
        <f t="shared" si="6"/>
        <v>568.70000000000005</v>
      </c>
      <c r="K24" s="41">
        <v>0.05</v>
      </c>
      <c r="L24" s="42">
        <f t="shared" si="7"/>
        <v>28.435000000000002</v>
      </c>
      <c r="M24" s="45">
        <f t="shared" si="8"/>
        <v>597.13499999999999</v>
      </c>
      <c r="N24" s="39">
        <v>0.85</v>
      </c>
      <c r="O24" s="42">
        <f t="shared" si="9"/>
        <v>483.39500000000004</v>
      </c>
      <c r="P24" s="42">
        <f t="shared" si="10"/>
        <v>1052.095</v>
      </c>
      <c r="Q24" s="39">
        <v>0.05</v>
      </c>
      <c r="R24" s="42">
        <f t="shared" si="11"/>
        <v>52.604750000000003</v>
      </c>
      <c r="S24" s="43">
        <f t="shared" si="12"/>
        <v>1104.69975</v>
      </c>
      <c r="T24" s="39">
        <v>0.84</v>
      </c>
      <c r="U24" s="42">
        <f t="shared" si="13"/>
        <v>406.05180000000001</v>
      </c>
      <c r="V24" s="42">
        <f t="shared" si="14"/>
        <v>974.7518</v>
      </c>
      <c r="W24" s="39">
        <v>0.05</v>
      </c>
      <c r="X24" s="42">
        <f t="shared" si="15"/>
        <v>48.737590000000004</v>
      </c>
      <c r="Y24" s="42">
        <f t="shared" si="16"/>
        <v>1023.48939</v>
      </c>
      <c r="Z24" s="39">
        <v>0.83</v>
      </c>
      <c r="AA24" s="42">
        <f t="shared" si="17"/>
        <v>472.02100000000002</v>
      </c>
      <c r="AB24" s="42">
        <f t="shared" si="18"/>
        <v>1040.721</v>
      </c>
      <c r="AC24" s="39">
        <v>0.05</v>
      </c>
      <c r="AD24" s="42">
        <f t="shared" si="19"/>
        <v>52.036050000000003</v>
      </c>
      <c r="AE24" s="42">
        <f t="shared" si="20"/>
        <v>1092.7570499999999</v>
      </c>
      <c r="AF24" s="39">
        <v>0.82</v>
      </c>
      <c r="AG24" s="42">
        <f t="shared" si="21"/>
        <v>466.334</v>
      </c>
      <c r="AH24" s="42">
        <f t="shared" si="22"/>
        <v>1035.0340000000001</v>
      </c>
      <c r="AI24" s="39">
        <v>0.05</v>
      </c>
      <c r="AJ24" s="42">
        <f t="shared" si="23"/>
        <v>51.751700000000007</v>
      </c>
      <c r="AK24" s="42">
        <f t="shared" si="24"/>
        <v>1086.7857000000001</v>
      </c>
      <c r="AL24" s="39">
        <v>0.76</v>
      </c>
      <c r="AM24" s="42">
        <f t="shared" si="25"/>
        <v>432.21200000000005</v>
      </c>
      <c r="AN24" s="42">
        <f t="shared" si="26"/>
        <v>1000.912</v>
      </c>
      <c r="AO24" s="39">
        <v>0.05</v>
      </c>
      <c r="AP24" s="42">
        <f t="shared" si="27"/>
        <v>50.045600000000007</v>
      </c>
      <c r="AQ24" s="42">
        <f t="shared" si="28"/>
        <v>1050.9576</v>
      </c>
      <c r="AR24" s="39">
        <v>0.7</v>
      </c>
      <c r="AS24" s="42">
        <f t="shared" si="29"/>
        <v>398.09000000000003</v>
      </c>
      <c r="AT24" s="42">
        <f t="shared" si="30"/>
        <v>966.79000000000008</v>
      </c>
      <c r="AU24" s="39">
        <v>0.05</v>
      </c>
      <c r="AV24" s="42">
        <f t="shared" si="31"/>
        <v>48.339500000000008</v>
      </c>
      <c r="AW24" s="42">
        <f t="shared" si="32"/>
        <v>1015.1295000000001</v>
      </c>
      <c r="AX24" s="39">
        <v>0.65</v>
      </c>
      <c r="AY24" s="42">
        <f t="shared" si="33"/>
        <v>369.65500000000003</v>
      </c>
      <c r="AZ24" s="42">
        <f t="shared" si="34"/>
        <v>938.35500000000002</v>
      </c>
      <c r="BA24" s="39">
        <v>0.05</v>
      </c>
      <c r="BB24" s="42">
        <f t="shared" si="35"/>
        <v>46.917750000000005</v>
      </c>
      <c r="BC24" s="42">
        <f t="shared" si="36"/>
        <v>985.27274999999997</v>
      </c>
      <c r="BD24" s="67">
        <v>0.35</v>
      </c>
      <c r="BE24" s="42">
        <f t="shared" si="37"/>
        <v>199.04500000000002</v>
      </c>
      <c r="BF24" s="42">
        <f t="shared" si="38"/>
        <v>767.74500000000012</v>
      </c>
      <c r="BG24" s="39">
        <v>0.05</v>
      </c>
      <c r="BH24" s="42">
        <f t="shared" si="39"/>
        <v>38.387250000000009</v>
      </c>
      <c r="BI24" s="42">
        <f t="shared" si="40"/>
        <v>806.13225000000011</v>
      </c>
      <c r="BN24" s="25">
        <f t="shared" si="46"/>
        <v>23.5</v>
      </c>
      <c r="BO24" s="19">
        <f t="shared" si="47"/>
        <v>493.5</v>
      </c>
      <c r="BP24" s="12">
        <f t="shared" si="43"/>
        <v>987</v>
      </c>
    </row>
    <row r="25" spans="2:68" x14ac:dyDescent="0.25">
      <c r="B25" s="13">
        <f t="shared" si="48"/>
        <v>17</v>
      </c>
      <c r="C25" s="17" t="s">
        <v>26</v>
      </c>
      <c r="D25" s="61">
        <v>1</v>
      </c>
      <c r="E25" s="61">
        <v>1</v>
      </c>
      <c r="F25" s="26">
        <f t="shared" si="49"/>
        <v>2</v>
      </c>
      <c r="G25" s="25">
        <v>470</v>
      </c>
      <c r="H25" s="41">
        <v>0.21</v>
      </c>
      <c r="I25" s="42">
        <f t="shared" si="5"/>
        <v>98.7</v>
      </c>
      <c r="J25" s="43">
        <f t="shared" si="6"/>
        <v>568.70000000000005</v>
      </c>
      <c r="K25" s="41">
        <v>0.05</v>
      </c>
      <c r="L25" s="42">
        <f t="shared" si="7"/>
        <v>28.435000000000002</v>
      </c>
      <c r="M25" s="45">
        <f t="shared" si="8"/>
        <v>597.13499999999999</v>
      </c>
      <c r="N25" s="39">
        <v>0.85</v>
      </c>
      <c r="O25" s="42">
        <f t="shared" si="9"/>
        <v>483.39500000000004</v>
      </c>
      <c r="P25" s="42">
        <f t="shared" si="10"/>
        <v>1052.095</v>
      </c>
      <c r="Q25" s="39">
        <v>0.05</v>
      </c>
      <c r="R25" s="42">
        <f t="shared" si="11"/>
        <v>52.604750000000003</v>
      </c>
      <c r="S25" s="43">
        <f t="shared" si="12"/>
        <v>1104.69975</v>
      </c>
      <c r="T25" s="39">
        <v>0.84</v>
      </c>
      <c r="U25" s="42">
        <f t="shared" si="13"/>
        <v>406.05180000000001</v>
      </c>
      <c r="V25" s="42">
        <f t="shared" si="14"/>
        <v>974.7518</v>
      </c>
      <c r="W25" s="39">
        <v>0.05</v>
      </c>
      <c r="X25" s="42">
        <f t="shared" si="15"/>
        <v>48.737590000000004</v>
      </c>
      <c r="Y25" s="42">
        <f t="shared" si="16"/>
        <v>1023.48939</v>
      </c>
      <c r="Z25" s="39">
        <v>0.83</v>
      </c>
      <c r="AA25" s="42">
        <f t="shared" si="17"/>
        <v>472.02100000000002</v>
      </c>
      <c r="AB25" s="42">
        <f t="shared" si="18"/>
        <v>1040.721</v>
      </c>
      <c r="AC25" s="39">
        <v>0.05</v>
      </c>
      <c r="AD25" s="42">
        <f t="shared" si="19"/>
        <v>52.036050000000003</v>
      </c>
      <c r="AE25" s="42">
        <f t="shared" si="20"/>
        <v>1092.7570499999999</v>
      </c>
      <c r="AF25" s="39">
        <v>0.82</v>
      </c>
      <c r="AG25" s="42">
        <f t="shared" si="21"/>
        <v>466.334</v>
      </c>
      <c r="AH25" s="42">
        <f t="shared" si="22"/>
        <v>1035.0340000000001</v>
      </c>
      <c r="AI25" s="39">
        <v>0.05</v>
      </c>
      <c r="AJ25" s="42">
        <f t="shared" si="23"/>
        <v>51.751700000000007</v>
      </c>
      <c r="AK25" s="42">
        <f t="shared" si="24"/>
        <v>1086.7857000000001</v>
      </c>
      <c r="AL25" s="39">
        <v>0.76</v>
      </c>
      <c r="AM25" s="42">
        <f t="shared" si="25"/>
        <v>432.21200000000005</v>
      </c>
      <c r="AN25" s="42">
        <f t="shared" si="26"/>
        <v>1000.912</v>
      </c>
      <c r="AO25" s="39">
        <v>0.05</v>
      </c>
      <c r="AP25" s="42">
        <f t="shared" si="27"/>
        <v>50.045600000000007</v>
      </c>
      <c r="AQ25" s="42">
        <f t="shared" si="28"/>
        <v>1050.9576</v>
      </c>
      <c r="AR25" s="39">
        <v>0.7</v>
      </c>
      <c r="AS25" s="42">
        <f t="shared" si="29"/>
        <v>398.09000000000003</v>
      </c>
      <c r="AT25" s="42">
        <f t="shared" si="30"/>
        <v>966.79000000000008</v>
      </c>
      <c r="AU25" s="39">
        <v>0.05</v>
      </c>
      <c r="AV25" s="42">
        <f t="shared" si="31"/>
        <v>48.339500000000008</v>
      </c>
      <c r="AW25" s="42">
        <f t="shared" si="32"/>
        <v>1015.1295000000001</v>
      </c>
      <c r="AX25" s="39">
        <v>0.65</v>
      </c>
      <c r="AY25" s="42">
        <f t="shared" si="33"/>
        <v>369.65500000000003</v>
      </c>
      <c r="AZ25" s="42">
        <f t="shared" si="34"/>
        <v>938.35500000000002</v>
      </c>
      <c r="BA25" s="39">
        <v>0.05</v>
      </c>
      <c r="BB25" s="42">
        <f t="shared" si="35"/>
        <v>46.917750000000005</v>
      </c>
      <c r="BC25" s="42">
        <f t="shared" si="36"/>
        <v>985.27274999999997</v>
      </c>
      <c r="BD25" s="67">
        <v>0.35</v>
      </c>
      <c r="BE25" s="42">
        <f t="shared" si="37"/>
        <v>199.04500000000002</v>
      </c>
      <c r="BF25" s="42">
        <f t="shared" si="38"/>
        <v>767.74500000000012</v>
      </c>
      <c r="BG25" s="39">
        <v>0.05</v>
      </c>
      <c r="BH25" s="42">
        <f t="shared" si="39"/>
        <v>38.387250000000009</v>
      </c>
      <c r="BI25" s="42">
        <f t="shared" si="40"/>
        <v>806.13225000000011</v>
      </c>
      <c r="BN25" s="25">
        <f t="shared" si="46"/>
        <v>23.5</v>
      </c>
      <c r="BO25" s="19">
        <f t="shared" si="47"/>
        <v>493.5</v>
      </c>
      <c r="BP25" s="12">
        <f t="shared" si="43"/>
        <v>987</v>
      </c>
    </row>
    <row r="26" spans="2:68" x14ac:dyDescent="0.25">
      <c r="B26" s="13">
        <f t="shared" si="48"/>
        <v>18</v>
      </c>
      <c r="C26" s="17" t="s">
        <v>27</v>
      </c>
      <c r="D26" s="61">
        <v>1</v>
      </c>
      <c r="E26" s="61">
        <v>1</v>
      </c>
      <c r="F26" s="26">
        <f t="shared" si="49"/>
        <v>2</v>
      </c>
      <c r="G26" s="25">
        <v>470</v>
      </c>
      <c r="H26" s="41">
        <v>0.21</v>
      </c>
      <c r="I26" s="42">
        <f t="shared" si="5"/>
        <v>98.7</v>
      </c>
      <c r="J26" s="43">
        <f t="shared" si="6"/>
        <v>568.70000000000005</v>
      </c>
      <c r="K26" s="41">
        <v>0.05</v>
      </c>
      <c r="L26" s="42">
        <f t="shared" si="7"/>
        <v>28.435000000000002</v>
      </c>
      <c r="M26" s="45">
        <f t="shared" si="8"/>
        <v>597.13499999999999</v>
      </c>
      <c r="N26" s="39">
        <v>0.85</v>
      </c>
      <c r="O26" s="42">
        <f t="shared" si="9"/>
        <v>483.39500000000004</v>
      </c>
      <c r="P26" s="42">
        <f t="shared" si="10"/>
        <v>1052.095</v>
      </c>
      <c r="Q26" s="39">
        <v>0.05</v>
      </c>
      <c r="R26" s="42">
        <f t="shared" si="11"/>
        <v>52.604750000000003</v>
      </c>
      <c r="S26" s="43">
        <f t="shared" si="12"/>
        <v>1104.69975</v>
      </c>
      <c r="T26" s="39">
        <v>0.84</v>
      </c>
      <c r="U26" s="42">
        <f t="shared" si="13"/>
        <v>406.05180000000001</v>
      </c>
      <c r="V26" s="42">
        <f t="shared" si="14"/>
        <v>974.7518</v>
      </c>
      <c r="W26" s="39">
        <v>0.05</v>
      </c>
      <c r="X26" s="42">
        <f t="shared" si="15"/>
        <v>48.737590000000004</v>
      </c>
      <c r="Y26" s="42">
        <f t="shared" si="16"/>
        <v>1023.48939</v>
      </c>
      <c r="Z26" s="39">
        <v>0.83</v>
      </c>
      <c r="AA26" s="42">
        <f t="shared" si="17"/>
        <v>472.02100000000002</v>
      </c>
      <c r="AB26" s="42">
        <f t="shared" si="18"/>
        <v>1040.721</v>
      </c>
      <c r="AC26" s="39">
        <v>0.05</v>
      </c>
      <c r="AD26" s="42">
        <f t="shared" si="19"/>
        <v>52.036050000000003</v>
      </c>
      <c r="AE26" s="42">
        <f t="shared" si="20"/>
        <v>1092.7570499999999</v>
      </c>
      <c r="AF26" s="39">
        <v>0.82</v>
      </c>
      <c r="AG26" s="42">
        <f t="shared" si="21"/>
        <v>466.334</v>
      </c>
      <c r="AH26" s="42">
        <f t="shared" si="22"/>
        <v>1035.0340000000001</v>
      </c>
      <c r="AI26" s="39">
        <v>0.05</v>
      </c>
      <c r="AJ26" s="42">
        <f t="shared" si="23"/>
        <v>51.751700000000007</v>
      </c>
      <c r="AK26" s="42">
        <f t="shared" si="24"/>
        <v>1086.7857000000001</v>
      </c>
      <c r="AL26" s="39">
        <v>0.76</v>
      </c>
      <c r="AM26" s="42">
        <f t="shared" si="25"/>
        <v>432.21200000000005</v>
      </c>
      <c r="AN26" s="42">
        <f t="shared" si="26"/>
        <v>1000.912</v>
      </c>
      <c r="AO26" s="39">
        <v>0.05</v>
      </c>
      <c r="AP26" s="42">
        <f t="shared" si="27"/>
        <v>50.045600000000007</v>
      </c>
      <c r="AQ26" s="42">
        <f t="shared" si="28"/>
        <v>1050.9576</v>
      </c>
      <c r="AR26" s="39">
        <v>0.7</v>
      </c>
      <c r="AS26" s="42">
        <f t="shared" si="29"/>
        <v>398.09000000000003</v>
      </c>
      <c r="AT26" s="42">
        <f t="shared" si="30"/>
        <v>966.79000000000008</v>
      </c>
      <c r="AU26" s="39">
        <v>0.05</v>
      </c>
      <c r="AV26" s="42">
        <f t="shared" si="31"/>
        <v>48.339500000000008</v>
      </c>
      <c r="AW26" s="42">
        <f t="shared" si="32"/>
        <v>1015.1295000000001</v>
      </c>
      <c r="AX26" s="39">
        <v>0.65</v>
      </c>
      <c r="AY26" s="42">
        <f t="shared" si="33"/>
        <v>369.65500000000003</v>
      </c>
      <c r="AZ26" s="42">
        <f t="shared" si="34"/>
        <v>938.35500000000002</v>
      </c>
      <c r="BA26" s="39">
        <v>0.05</v>
      </c>
      <c r="BB26" s="42">
        <f t="shared" si="35"/>
        <v>46.917750000000005</v>
      </c>
      <c r="BC26" s="42">
        <f t="shared" si="36"/>
        <v>985.27274999999997</v>
      </c>
      <c r="BD26" s="67">
        <v>0.35</v>
      </c>
      <c r="BE26" s="42">
        <f t="shared" si="37"/>
        <v>199.04500000000002</v>
      </c>
      <c r="BF26" s="42">
        <f t="shared" si="38"/>
        <v>767.74500000000012</v>
      </c>
      <c r="BG26" s="39">
        <v>0.05</v>
      </c>
      <c r="BH26" s="42">
        <f t="shared" si="39"/>
        <v>38.387250000000009</v>
      </c>
      <c r="BI26" s="42">
        <f t="shared" si="40"/>
        <v>806.13225000000011</v>
      </c>
      <c r="BN26" s="25">
        <f t="shared" si="46"/>
        <v>23.5</v>
      </c>
      <c r="BO26" s="19">
        <f t="shared" si="47"/>
        <v>493.5</v>
      </c>
      <c r="BP26" s="12">
        <f t="shared" si="43"/>
        <v>987</v>
      </c>
    </row>
    <row r="27" spans="2:68" x14ac:dyDescent="0.25">
      <c r="B27" s="13">
        <f t="shared" si="48"/>
        <v>19</v>
      </c>
      <c r="C27" s="17" t="s">
        <v>28</v>
      </c>
      <c r="D27" s="61">
        <v>1</v>
      </c>
      <c r="E27" s="61">
        <v>1</v>
      </c>
      <c r="F27" s="26">
        <f t="shared" si="49"/>
        <v>2</v>
      </c>
      <c r="G27" s="25">
        <v>470</v>
      </c>
      <c r="H27" s="41">
        <v>0.21</v>
      </c>
      <c r="I27" s="42">
        <f t="shared" si="5"/>
        <v>98.7</v>
      </c>
      <c r="J27" s="43">
        <f t="shared" si="6"/>
        <v>568.70000000000005</v>
      </c>
      <c r="K27" s="41">
        <v>0.05</v>
      </c>
      <c r="L27" s="42">
        <f t="shared" si="7"/>
        <v>28.435000000000002</v>
      </c>
      <c r="M27" s="45">
        <f t="shared" si="8"/>
        <v>597.13499999999999</v>
      </c>
      <c r="N27" s="39">
        <v>0.85</v>
      </c>
      <c r="O27" s="42">
        <f t="shared" si="9"/>
        <v>483.39500000000004</v>
      </c>
      <c r="P27" s="42">
        <f t="shared" si="10"/>
        <v>1052.095</v>
      </c>
      <c r="Q27" s="39">
        <v>0.05</v>
      </c>
      <c r="R27" s="42">
        <f t="shared" si="11"/>
        <v>52.604750000000003</v>
      </c>
      <c r="S27" s="43">
        <f t="shared" si="12"/>
        <v>1104.69975</v>
      </c>
      <c r="T27" s="39">
        <v>0.84</v>
      </c>
      <c r="U27" s="42">
        <f t="shared" si="13"/>
        <v>406.05180000000001</v>
      </c>
      <c r="V27" s="42">
        <f t="shared" si="14"/>
        <v>974.7518</v>
      </c>
      <c r="W27" s="39">
        <v>0.05</v>
      </c>
      <c r="X27" s="42">
        <f t="shared" si="15"/>
        <v>48.737590000000004</v>
      </c>
      <c r="Y27" s="42">
        <f t="shared" si="16"/>
        <v>1023.48939</v>
      </c>
      <c r="Z27" s="39">
        <v>0.83</v>
      </c>
      <c r="AA27" s="42">
        <f t="shared" si="17"/>
        <v>472.02100000000002</v>
      </c>
      <c r="AB27" s="42">
        <f t="shared" si="18"/>
        <v>1040.721</v>
      </c>
      <c r="AC27" s="39">
        <v>0.05</v>
      </c>
      <c r="AD27" s="42">
        <f t="shared" si="19"/>
        <v>52.036050000000003</v>
      </c>
      <c r="AE27" s="42">
        <f t="shared" si="20"/>
        <v>1092.7570499999999</v>
      </c>
      <c r="AF27" s="39">
        <v>0.82</v>
      </c>
      <c r="AG27" s="42">
        <f t="shared" si="21"/>
        <v>466.334</v>
      </c>
      <c r="AH27" s="42">
        <f t="shared" si="22"/>
        <v>1035.0340000000001</v>
      </c>
      <c r="AI27" s="39">
        <v>0.05</v>
      </c>
      <c r="AJ27" s="42">
        <f t="shared" si="23"/>
        <v>51.751700000000007</v>
      </c>
      <c r="AK27" s="42">
        <f t="shared" si="24"/>
        <v>1086.7857000000001</v>
      </c>
      <c r="AL27" s="39">
        <v>0.76</v>
      </c>
      <c r="AM27" s="42">
        <f t="shared" si="25"/>
        <v>432.21200000000005</v>
      </c>
      <c r="AN27" s="42">
        <f t="shared" si="26"/>
        <v>1000.912</v>
      </c>
      <c r="AO27" s="39">
        <v>0.05</v>
      </c>
      <c r="AP27" s="42">
        <f t="shared" si="27"/>
        <v>50.045600000000007</v>
      </c>
      <c r="AQ27" s="42">
        <f t="shared" si="28"/>
        <v>1050.9576</v>
      </c>
      <c r="AR27" s="39">
        <v>0.7</v>
      </c>
      <c r="AS27" s="42">
        <f t="shared" si="29"/>
        <v>398.09000000000003</v>
      </c>
      <c r="AT27" s="42">
        <f t="shared" si="30"/>
        <v>966.79000000000008</v>
      </c>
      <c r="AU27" s="39">
        <v>0.05</v>
      </c>
      <c r="AV27" s="42">
        <f t="shared" si="31"/>
        <v>48.339500000000008</v>
      </c>
      <c r="AW27" s="42">
        <f t="shared" si="32"/>
        <v>1015.1295000000001</v>
      </c>
      <c r="AX27" s="39">
        <v>0.65</v>
      </c>
      <c r="AY27" s="42">
        <f t="shared" si="33"/>
        <v>369.65500000000003</v>
      </c>
      <c r="AZ27" s="42">
        <f t="shared" si="34"/>
        <v>938.35500000000002</v>
      </c>
      <c r="BA27" s="39">
        <v>0.05</v>
      </c>
      <c r="BB27" s="42">
        <f t="shared" si="35"/>
        <v>46.917750000000005</v>
      </c>
      <c r="BC27" s="42">
        <f t="shared" si="36"/>
        <v>985.27274999999997</v>
      </c>
      <c r="BD27" s="67">
        <v>0.35</v>
      </c>
      <c r="BE27" s="42">
        <f t="shared" si="37"/>
        <v>199.04500000000002</v>
      </c>
      <c r="BF27" s="42">
        <f t="shared" si="38"/>
        <v>767.74500000000012</v>
      </c>
      <c r="BG27" s="39">
        <v>0.05</v>
      </c>
      <c r="BH27" s="42">
        <f t="shared" si="39"/>
        <v>38.387250000000009</v>
      </c>
      <c r="BI27" s="42">
        <f t="shared" si="40"/>
        <v>806.13225000000011</v>
      </c>
      <c r="BN27" s="25">
        <f t="shared" si="46"/>
        <v>23.5</v>
      </c>
      <c r="BO27" s="19">
        <f t="shared" si="47"/>
        <v>493.5</v>
      </c>
      <c r="BP27" s="12">
        <f t="shared" si="43"/>
        <v>987</v>
      </c>
    </row>
    <row r="28" spans="2:68" x14ac:dyDescent="0.25">
      <c r="B28" s="13">
        <f t="shared" si="48"/>
        <v>20</v>
      </c>
      <c r="C28" s="17" t="s">
        <v>29</v>
      </c>
      <c r="D28" s="61">
        <v>1</v>
      </c>
      <c r="E28" s="61">
        <v>1</v>
      </c>
      <c r="F28" s="26">
        <f t="shared" si="49"/>
        <v>2</v>
      </c>
      <c r="G28" s="25">
        <v>470</v>
      </c>
      <c r="H28" s="41">
        <v>0.21</v>
      </c>
      <c r="I28" s="42">
        <f t="shared" si="5"/>
        <v>98.7</v>
      </c>
      <c r="J28" s="43">
        <f t="shared" si="6"/>
        <v>568.70000000000005</v>
      </c>
      <c r="K28" s="41">
        <v>0.05</v>
      </c>
      <c r="L28" s="42">
        <f t="shared" si="7"/>
        <v>28.435000000000002</v>
      </c>
      <c r="M28" s="45">
        <f t="shared" si="8"/>
        <v>597.13499999999999</v>
      </c>
      <c r="N28" s="39">
        <v>0.85</v>
      </c>
      <c r="O28" s="42">
        <f t="shared" si="9"/>
        <v>483.39500000000004</v>
      </c>
      <c r="P28" s="42">
        <f t="shared" si="10"/>
        <v>1052.095</v>
      </c>
      <c r="Q28" s="39">
        <v>0.05</v>
      </c>
      <c r="R28" s="42">
        <f t="shared" si="11"/>
        <v>52.604750000000003</v>
      </c>
      <c r="S28" s="43">
        <f t="shared" si="12"/>
        <v>1104.69975</v>
      </c>
      <c r="T28" s="39">
        <v>0.84</v>
      </c>
      <c r="U28" s="42">
        <f t="shared" si="13"/>
        <v>406.05180000000001</v>
      </c>
      <c r="V28" s="42">
        <f t="shared" si="14"/>
        <v>974.7518</v>
      </c>
      <c r="W28" s="39">
        <v>0.05</v>
      </c>
      <c r="X28" s="42">
        <f t="shared" si="15"/>
        <v>48.737590000000004</v>
      </c>
      <c r="Y28" s="42">
        <f t="shared" si="16"/>
        <v>1023.48939</v>
      </c>
      <c r="Z28" s="39">
        <v>0.83</v>
      </c>
      <c r="AA28" s="42">
        <f t="shared" si="17"/>
        <v>472.02100000000002</v>
      </c>
      <c r="AB28" s="42">
        <f t="shared" si="18"/>
        <v>1040.721</v>
      </c>
      <c r="AC28" s="39">
        <v>0.05</v>
      </c>
      <c r="AD28" s="42">
        <f t="shared" si="19"/>
        <v>52.036050000000003</v>
      </c>
      <c r="AE28" s="42">
        <f t="shared" si="20"/>
        <v>1092.7570499999999</v>
      </c>
      <c r="AF28" s="39">
        <v>0.82</v>
      </c>
      <c r="AG28" s="42">
        <f t="shared" si="21"/>
        <v>466.334</v>
      </c>
      <c r="AH28" s="42">
        <f t="shared" si="22"/>
        <v>1035.0340000000001</v>
      </c>
      <c r="AI28" s="39">
        <v>0.05</v>
      </c>
      <c r="AJ28" s="42">
        <f t="shared" si="23"/>
        <v>51.751700000000007</v>
      </c>
      <c r="AK28" s="42">
        <f t="shared" si="24"/>
        <v>1086.7857000000001</v>
      </c>
      <c r="AL28" s="39">
        <v>0.76</v>
      </c>
      <c r="AM28" s="42">
        <f t="shared" si="25"/>
        <v>432.21200000000005</v>
      </c>
      <c r="AN28" s="42">
        <f t="shared" si="26"/>
        <v>1000.912</v>
      </c>
      <c r="AO28" s="39">
        <v>0.05</v>
      </c>
      <c r="AP28" s="42">
        <f t="shared" si="27"/>
        <v>50.045600000000007</v>
      </c>
      <c r="AQ28" s="42">
        <f t="shared" si="28"/>
        <v>1050.9576</v>
      </c>
      <c r="AR28" s="39">
        <v>0.7</v>
      </c>
      <c r="AS28" s="42">
        <f t="shared" si="29"/>
        <v>398.09000000000003</v>
      </c>
      <c r="AT28" s="42">
        <f t="shared" si="30"/>
        <v>966.79000000000008</v>
      </c>
      <c r="AU28" s="39">
        <v>0.05</v>
      </c>
      <c r="AV28" s="42">
        <f t="shared" si="31"/>
        <v>48.339500000000008</v>
      </c>
      <c r="AW28" s="42">
        <f t="shared" si="32"/>
        <v>1015.1295000000001</v>
      </c>
      <c r="AX28" s="39">
        <v>0.65</v>
      </c>
      <c r="AY28" s="42">
        <f t="shared" si="33"/>
        <v>369.65500000000003</v>
      </c>
      <c r="AZ28" s="42">
        <f t="shared" si="34"/>
        <v>938.35500000000002</v>
      </c>
      <c r="BA28" s="39">
        <v>0.05</v>
      </c>
      <c r="BB28" s="42">
        <f t="shared" si="35"/>
        <v>46.917750000000005</v>
      </c>
      <c r="BC28" s="42">
        <f t="shared" si="36"/>
        <v>985.27274999999997</v>
      </c>
      <c r="BD28" s="67">
        <v>0.35</v>
      </c>
      <c r="BE28" s="42">
        <f t="shared" si="37"/>
        <v>199.04500000000002</v>
      </c>
      <c r="BF28" s="42">
        <f t="shared" si="38"/>
        <v>767.74500000000012</v>
      </c>
      <c r="BG28" s="39">
        <v>0.05</v>
      </c>
      <c r="BH28" s="42">
        <f t="shared" si="39"/>
        <v>38.387250000000009</v>
      </c>
      <c r="BI28" s="42">
        <f t="shared" si="40"/>
        <v>806.13225000000011</v>
      </c>
      <c r="BN28" s="25">
        <f t="shared" si="46"/>
        <v>23.5</v>
      </c>
      <c r="BO28" s="19">
        <f t="shared" si="47"/>
        <v>493.5</v>
      </c>
      <c r="BP28" s="12">
        <f t="shared" si="43"/>
        <v>987</v>
      </c>
    </row>
    <row r="29" spans="2:68" x14ac:dyDescent="0.25">
      <c r="B29" s="13">
        <f t="shared" si="48"/>
        <v>21</v>
      </c>
      <c r="C29" s="17" t="s">
        <v>30</v>
      </c>
      <c r="D29" s="61">
        <v>1</v>
      </c>
      <c r="E29" s="61">
        <v>1</v>
      </c>
      <c r="F29" s="26">
        <f t="shared" si="49"/>
        <v>2</v>
      </c>
      <c r="G29" s="25">
        <v>470</v>
      </c>
      <c r="H29" s="41">
        <v>0.21</v>
      </c>
      <c r="I29" s="42">
        <f t="shared" si="5"/>
        <v>98.7</v>
      </c>
      <c r="J29" s="43">
        <f t="shared" si="6"/>
        <v>568.70000000000005</v>
      </c>
      <c r="K29" s="41">
        <v>0.05</v>
      </c>
      <c r="L29" s="42">
        <f t="shared" si="7"/>
        <v>28.435000000000002</v>
      </c>
      <c r="M29" s="45">
        <f t="shared" si="8"/>
        <v>597.13499999999999</v>
      </c>
      <c r="N29" s="39">
        <v>0.85</v>
      </c>
      <c r="O29" s="42">
        <f t="shared" si="9"/>
        <v>483.39500000000004</v>
      </c>
      <c r="P29" s="42">
        <f t="shared" si="10"/>
        <v>1052.095</v>
      </c>
      <c r="Q29" s="39">
        <v>0.05</v>
      </c>
      <c r="R29" s="42">
        <f t="shared" si="11"/>
        <v>52.604750000000003</v>
      </c>
      <c r="S29" s="43">
        <f t="shared" si="12"/>
        <v>1104.69975</v>
      </c>
      <c r="T29" s="39">
        <v>0.84</v>
      </c>
      <c r="U29" s="42">
        <f t="shared" si="13"/>
        <v>406.05180000000001</v>
      </c>
      <c r="V29" s="42">
        <f t="shared" si="14"/>
        <v>974.7518</v>
      </c>
      <c r="W29" s="39">
        <v>0.05</v>
      </c>
      <c r="X29" s="42">
        <f t="shared" si="15"/>
        <v>48.737590000000004</v>
      </c>
      <c r="Y29" s="42">
        <f t="shared" si="16"/>
        <v>1023.48939</v>
      </c>
      <c r="Z29" s="39">
        <v>0.83</v>
      </c>
      <c r="AA29" s="42">
        <f t="shared" si="17"/>
        <v>472.02100000000002</v>
      </c>
      <c r="AB29" s="42">
        <f t="shared" si="18"/>
        <v>1040.721</v>
      </c>
      <c r="AC29" s="39">
        <v>0.05</v>
      </c>
      <c r="AD29" s="42">
        <f t="shared" si="19"/>
        <v>52.036050000000003</v>
      </c>
      <c r="AE29" s="42">
        <f t="shared" si="20"/>
        <v>1092.7570499999999</v>
      </c>
      <c r="AF29" s="39">
        <v>0.82</v>
      </c>
      <c r="AG29" s="42">
        <f t="shared" si="21"/>
        <v>466.334</v>
      </c>
      <c r="AH29" s="42">
        <f t="shared" si="22"/>
        <v>1035.0340000000001</v>
      </c>
      <c r="AI29" s="39">
        <v>0.05</v>
      </c>
      <c r="AJ29" s="42">
        <f t="shared" si="23"/>
        <v>51.751700000000007</v>
      </c>
      <c r="AK29" s="42">
        <f t="shared" si="24"/>
        <v>1086.7857000000001</v>
      </c>
      <c r="AL29" s="39">
        <v>0.76</v>
      </c>
      <c r="AM29" s="42">
        <f t="shared" si="25"/>
        <v>432.21200000000005</v>
      </c>
      <c r="AN29" s="42">
        <f t="shared" si="26"/>
        <v>1000.912</v>
      </c>
      <c r="AO29" s="39">
        <v>0.05</v>
      </c>
      <c r="AP29" s="42">
        <f t="shared" si="27"/>
        <v>50.045600000000007</v>
      </c>
      <c r="AQ29" s="42">
        <f t="shared" si="28"/>
        <v>1050.9576</v>
      </c>
      <c r="AR29" s="39">
        <v>0.7</v>
      </c>
      <c r="AS29" s="42">
        <f t="shared" si="29"/>
        <v>398.09000000000003</v>
      </c>
      <c r="AT29" s="42">
        <f t="shared" si="30"/>
        <v>966.79000000000008</v>
      </c>
      <c r="AU29" s="39">
        <v>0.05</v>
      </c>
      <c r="AV29" s="42">
        <f t="shared" si="31"/>
        <v>48.339500000000008</v>
      </c>
      <c r="AW29" s="42">
        <f t="shared" si="32"/>
        <v>1015.1295000000001</v>
      </c>
      <c r="AX29" s="39">
        <v>0.65</v>
      </c>
      <c r="AY29" s="42">
        <f t="shared" si="33"/>
        <v>369.65500000000003</v>
      </c>
      <c r="AZ29" s="42">
        <f t="shared" si="34"/>
        <v>938.35500000000002</v>
      </c>
      <c r="BA29" s="39">
        <v>0.05</v>
      </c>
      <c r="BB29" s="42">
        <f t="shared" si="35"/>
        <v>46.917750000000005</v>
      </c>
      <c r="BC29" s="42">
        <f t="shared" si="36"/>
        <v>985.27274999999997</v>
      </c>
      <c r="BD29" s="67">
        <v>0.35</v>
      </c>
      <c r="BE29" s="42">
        <f t="shared" si="37"/>
        <v>199.04500000000002</v>
      </c>
      <c r="BF29" s="42">
        <f t="shared" si="38"/>
        <v>767.74500000000012</v>
      </c>
      <c r="BG29" s="39">
        <v>0.05</v>
      </c>
      <c r="BH29" s="42">
        <f t="shared" si="39"/>
        <v>38.387250000000009</v>
      </c>
      <c r="BI29" s="42">
        <f t="shared" si="40"/>
        <v>806.13225000000011</v>
      </c>
      <c r="BN29" s="25">
        <f t="shared" si="46"/>
        <v>23.5</v>
      </c>
      <c r="BO29" s="19">
        <f t="shared" si="47"/>
        <v>493.5</v>
      </c>
      <c r="BP29" s="12">
        <f t="shared" si="43"/>
        <v>987</v>
      </c>
    </row>
    <row r="30" spans="2:68" x14ac:dyDescent="0.25">
      <c r="B30" s="13"/>
      <c r="C30" s="14" t="s">
        <v>31</v>
      </c>
      <c r="D30" s="15"/>
      <c r="E30" s="16"/>
      <c r="F30" s="26"/>
      <c r="G30" s="25"/>
      <c r="H30" s="41">
        <v>0.21</v>
      </c>
      <c r="I30" s="42">
        <f t="shared" si="5"/>
        <v>0</v>
      </c>
      <c r="J30" s="43">
        <f t="shared" si="6"/>
        <v>0</v>
      </c>
      <c r="K30" s="41">
        <v>0.05</v>
      </c>
      <c r="L30" s="42">
        <f t="shared" si="7"/>
        <v>0</v>
      </c>
      <c r="M30" s="45">
        <f t="shared" si="8"/>
        <v>0</v>
      </c>
      <c r="N30" s="39">
        <v>0.85</v>
      </c>
      <c r="O30" s="42">
        <f t="shared" si="9"/>
        <v>0</v>
      </c>
      <c r="P30" s="42">
        <f t="shared" si="10"/>
        <v>0</v>
      </c>
      <c r="Q30" s="39">
        <v>0.05</v>
      </c>
      <c r="R30" s="42">
        <f t="shared" si="11"/>
        <v>0</v>
      </c>
      <c r="S30" s="43">
        <f t="shared" si="12"/>
        <v>0</v>
      </c>
      <c r="T30" s="39">
        <v>0.84</v>
      </c>
      <c r="U30" s="42">
        <f t="shared" si="13"/>
        <v>0</v>
      </c>
      <c r="V30" s="42">
        <f t="shared" si="14"/>
        <v>0</v>
      </c>
      <c r="W30" s="39">
        <v>0.05</v>
      </c>
      <c r="X30" s="42">
        <f t="shared" si="15"/>
        <v>0</v>
      </c>
      <c r="Y30" s="42">
        <f t="shared" si="16"/>
        <v>0</v>
      </c>
      <c r="Z30" s="39">
        <v>0.83</v>
      </c>
      <c r="AA30" s="42">
        <f t="shared" si="17"/>
        <v>0</v>
      </c>
      <c r="AB30" s="42">
        <f t="shared" si="18"/>
        <v>0</v>
      </c>
      <c r="AC30" s="39">
        <v>0.05</v>
      </c>
      <c r="AD30" s="42">
        <f t="shared" si="19"/>
        <v>0</v>
      </c>
      <c r="AE30" s="42">
        <f t="shared" si="20"/>
        <v>0</v>
      </c>
      <c r="AF30" s="39">
        <v>0.82</v>
      </c>
      <c r="AG30" s="42">
        <f t="shared" si="21"/>
        <v>0</v>
      </c>
      <c r="AH30" s="42">
        <f t="shared" si="22"/>
        <v>0</v>
      </c>
      <c r="AI30" s="39">
        <v>0.05</v>
      </c>
      <c r="AJ30" s="42">
        <f t="shared" si="23"/>
        <v>0</v>
      </c>
      <c r="AK30" s="42">
        <f t="shared" si="24"/>
        <v>0</v>
      </c>
      <c r="AL30" s="39">
        <v>0.76</v>
      </c>
      <c r="AM30" s="42">
        <f t="shared" si="25"/>
        <v>0</v>
      </c>
      <c r="AN30" s="42">
        <f t="shared" si="26"/>
        <v>0</v>
      </c>
      <c r="AO30" s="39">
        <v>0.05</v>
      </c>
      <c r="AP30" s="42">
        <f t="shared" si="27"/>
        <v>0</v>
      </c>
      <c r="AQ30" s="42">
        <f t="shared" si="28"/>
        <v>0</v>
      </c>
      <c r="AR30" s="39">
        <v>0.7</v>
      </c>
      <c r="AS30" s="42">
        <f t="shared" si="29"/>
        <v>0</v>
      </c>
      <c r="AT30" s="42">
        <f t="shared" si="30"/>
        <v>0</v>
      </c>
      <c r="AU30" s="39">
        <v>0.05</v>
      </c>
      <c r="AV30" s="42">
        <f t="shared" si="31"/>
        <v>0</v>
      </c>
      <c r="AW30" s="42">
        <f t="shared" si="32"/>
        <v>0</v>
      </c>
      <c r="AX30" s="39">
        <v>0.65</v>
      </c>
      <c r="AY30" s="42">
        <f t="shared" si="33"/>
        <v>0</v>
      </c>
      <c r="AZ30" s="42">
        <f t="shared" si="34"/>
        <v>0</v>
      </c>
      <c r="BA30" s="39">
        <v>0.05</v>
      </c>
      <c r="BB30" s="42">
        <f t="shared" si="35"/>
        <v>0</v>
      </c>
      <c r="BC30" s="42">
        <f t="shared" si="36"/>
        <v>0</v>
      </c>
      <c r="BD30" s="67">
        <v>0.35</v>
      </c>
      <c r="BE30" s="42">
        <f t="shared" si="37"/>
        <v>0</v>
      </c>
      <c r="BF30" s="42">
        <f t="shared" si="38"/>
        <v>0</v>
      </c>
      <c r="BG30" s="39">
        <v>0.05</v>
      </c>
      <c r="BH30" s="42">
        <f t="shared" si="39"/>
        <v>0</v>
      </c>
      <c r="BI30" s="42">
        <f t="shared" si="40"/>
        <v>0</v>
      </c>
      <c r="BN30" s="25"/>
      <c r="BO30" s="19"/>
      <c r="BP30" s="12">
        <f t="shared" si="43"/>
        <v>0</v>
      </c>
    </row>
    <row r="31" spans="2:68" x14ac:dyDescent="0.25">
      <c r="B31" s="13">
        <f>+B29+1</f>
        <v>22</v>
      </c>
      <c r="C31" s="31" t="s">
        <v>32</v>
      </c>
      <c r="D31" s="24">
        <v>1</v>
      </c>
      <c r="E31" s="24">
        <v>1</v>
      </c>
      <c r="F31" s="26">
        <f t="shared" si="49"/>
        <v>2</v>
      </c>
      <c r="G31" s="25">
        <v>470</v>
      </c>
      <c r="H31" s="41">
        <v>0.21</v>
      </c>
      <c r="I31" s="42">
        <f t="shared" si="5"/>
        <v>98.7</v>
      </c>
      <c r="J31" s="43">
        <f t="shared" si="6"/>
        <v>568.70000000000005</v>
      </c>
      <c r="K31" s="41">
        <v>0.05</v>
      </c>
      <c r="L31" s="42">
        <f t="shared" si="7"/>
        <v>28.435000000000002</v>
      </c>
      <c r="M31" s="45">
        <f t="shared" si="8"/>
        <v>597.13499999999999</v>
      </c>
      <c r="N31" s="39">
        <v>0.85</v>
      </c>
      <c r="O31" s="42">
        <f t="shared" si="9"/>
        <v>483.39500000000004</v>
      </c>
      <c r="P31" s="42">
        <f t="shared" si="10"/>
        <v>1052.095</v>
      </c>
      <c r="Q31" s="39">
        <v>0.05</v>
      </c>
      <c r="R31" s="42">
        <f t="shared" si="11"/>
        <v>52.604750000000003</v>
      </c>
      <c r="S31" s="43">
        <f t="shared" si="12"/>
        <v>1104.69975</v>
      </c>
      <c r="T31" s="39">
        <v>0.84</v>
      </c>
      <c r="U31" s="42">
        <f t="shared" si="13"/>
        <v>406.05180000000001</v>
      </c>
      <c r="V31" s="42">
        <f t="shared" si="14"/>
        <v>974.7518</v>
      </c>
      <c r="W31" s="39">
        <v>0.05</v>
      </c>
      <c r="X31" s="42">
        <f t="shared" si="15"/>
        <v>48.737590000000004</v>
      </c>
      <c r="Y31" s="42">
        <f t="shared" si="16"/>
        <v>1023.48939</v>
      </c>
      <c r="Z31" s="39">
        <v>0.83</v>
      </c>
      <c r="AA31" s="42">
        <f t="shared" si="17"/>
        <v>472.02100000000002</v>
      </c>
      <c r="AB31" s="42">
        <f t="shared" si="18"/>
        <v>1040.721</v>
      </c>
      <c r="AC31" s="39">
        <v>0.05</v>
      </c>
      <c r="AD31" s="42">
        <f t="shared" si="19"/>
        <v>52.036050000000003</v>
      </c>
      <c r="AE31" s="42">
        <f t="shared" si="20"/>
        <v>1092.7570499999999</v>
      </c>
      <c r="AF31" s="39">
        <v>0.82</v>
      </c>
      <c r="AG31" s="42">
        <f t="shared" si="21"/>
        <v>466.334</v>
      </c>
      <c r="AH31" s="42">
        <f t="shared" si="22"/>
        <v>1035.0340000000001</v>
      </c>
      <c r="AI31" s="39">
        <v>0.05</v>
      </c>
      <c r="AJ31" s="42">
        <f t="shared" si="23"/>
        <v>51.751700000000007</v>
      </c>
      <c r="AK31" s="42">
        <f t="shared" si="24"/>
        <v>1086.7857000000001</v>
      </c>
      <c r="AL31" s="39">
        <v>0.76</v>
      </c>
      <c r="AM31" s="42">
        <f t="shared" si="25"/>
        <v>432.21200000000005</v>
      </c>
      <c r="AN31" s="42">
        <f t="shared" si="26"/>
        <v>1000.912</v>
      </c>
      <c r="AO31" s="39">
        <v>0.05</v>
      </c>
      <c r="AP31" s="42">
        <f t="shared" si="27"/>
        <v>50.045600000000007</v>
      </c>
      <c r="AQ31" s="42">
        <f t="shared" si="28"/>
        <v>1050.9576</v>
      </c>
      <c r="AR31" s="39">
        <v>0.7</v>
      </c>
      <c r="AS31" s="42">
        <f t="shared" si="29"/>
        <v>398.09000000000003</v>
      </c>
      <c r="AT31" s="42">
        <f t="shared" si="30"/>
        <v>966.79000000000008</v>
      </c>
      <c r="AU31" s="39">
        <v>0.05</v>
      </c>
      <c r="AV31" s="42">
        <f t="shared" si="31"/>
        <v>48.339500000000008</v>
      </c>
      <c r="AW31" s="42">
        <f t="shared" si="32"/>
        <v>1015.1295000000001</v>
      </c>
      <c r="AX31" s="39">
        <v>0.65</v>
      </c>
      <c r="AY31" s="42">
        <f t="shared" si="33"/>
        <v>369.65500000000003</v>
      </c>
      <c r="AZ31" s="42">
        <f t="shared" si="34"/>
        <v>938.35500000000002</v>
      </c>
      <c r="BA31" s="39">
        <v>0.05</v>
      </c>
      <c r="BB31" s="42">
        <f t="shared" si="35"/>
        <v>46.917750000000005</v>
      </c>
      <c r="BC31" s="42">
        <f t="shared" si="36"/>
        <v>985.27274999999997</v>
      </c>
      <c r="BD31" s="67">
        <v>0.35</v>
      </c>
      <c r="BE31" s="42">
        <f t="shared" si="37"/>
        <v>199.04500000000002</v>
      </c>
      <c r="BF31" s="42">
        <f t="shared" si="38"/>
        <v>767.74500000000012</v>
      </c>
      <c r="BG31" s="39">
        <v>0.05</v>
      </c>
      <c r="BH31" s="42">
        <f t="shared" si="39"/>
        <v>38.387250000000009</v>
      </c>
      <c r="BI31" s="42">
        <f t="shared" si="40"/>
        <v>806.13225000000011</v>
      </c>
      <c r="BN31" s="25">
        <f>+G31*5%</f>
        <v>23.5</v>
      </c>
      <c r="BO31" s="19">
        <f>+G31+BN31</f>
        <v>493.5</v>
      </c>
      <c r="BP31" s="12">
        <f t="shared" si="43"/>
        <v>987</v>
      </c>
    </row>
    <row r="32" spans="2:68" x14ac:dyDescent="0.25">
      <c r="B32" s="13"/>
      <c r="C32" s="14" t="s">
        <v>33</v>
      </c>
      <c r="D32" s="15"/>
      <c r="E32" s="16"/>
      <c r="F32" s="17"/>
      <c r="G32" s="25"/>
      <c r="H32" s="41">
        <v>0.21</v>
      </c>
      <c r="I32" s="42">
        <f t="shared" si="5"/>
        <v>0</v>
      </c>
      <c r="J32" s="43">
        <f t="shared" si="6"/>
        <v>0</v>
      </c>
      <c r="K32" s="41">
        <v>0.05</v>
      </c>
      <c r="L32" s="42">
        <f t="shared" si="7"/>
        <v>0</v>
      </c>
      <c r="M32" s="45">
        <f t="shared" si="8"/>
        <v>0</v>
      </c>
      <c r="N32" s="39">
        <v>0.85</v>
      </c>
      <c r="O32" s="42">
        <f t="shared" si="9"/>
        <v>0</v>
      </c>
      <c r="P32" s="42">
        <f t="shared" si="10"/>
        <v>0</v>
      </c>
      <c r="Q32" s="39">
        <v>0.05</v>
      </c>
      <c r="R32" s="42">
        <f t="shared" si="11"/>
        <v>0</v>
      </c>
      <c r="S32" s="43">
        <f t="shared" si="12"/>
        <v>0</v>
      </c>
      <c r="T32" s="39">
        <v>0.84</v>
      </c>
      <c r="U32" s="42">
        <f t="shared" si="13"/>
        <v>0</v>
      </c>
      <c r="V32" s="42">
        <f t="shared" si="14"/>
        <v>0</v>
      </c>
      <c r="W32" s="39">
        <v>0.05</v>
      </c>
      <c r="X32" s="42">
        <f t="shared" si="15"/>
        <v>0</v>
      </c>
      <c r="Y32" s="42">
        <f t="shared" si="16"/>
        <v>0</v>
      </c>
      <c r="Z32" s="39">
        <v>0.83</v>
      </c>
      <c r="AA32" s="42">
        <f t="shared" si="17"/>
        <v>0</v>
      </c>
      <c r="AB32" s="42">
        <f t="shared" si="18"/>
        <v>0</v>
      </c>
      <c r="AC32" s="39">
        <v>0.05</v>
      </c>
      <c r="AD32" s="42">
        <f t="shared" si="19"/>
        <v>0</v>
      </c>
      <c r="AE32" s="42">
        <f t="shared" si="20"/>
        <v>0</v>
      </c>
      <c r="AF32" s="39">
        <v>0.82</v>
      </c>
      <c r="AG32" s="42">
        <f t="shared" si="21"/>
        <v>0</v>
      </c>
      <c r="AH32" s="42">
        <f t="shared" si="22"/>
        <v>0</v>
      </c>
      <c r="AI32" s="39">
        <v>0.05</v>
      </c>
      <c r="AJ32" s="42">
        <f t="shared" si="23"/>
        <v>0</v>
      </c>
      <c r="AK32" s="42">
        <f t="shared" si="24"/>
        <v>0</v>
      </c>
      <c r="AL32" s="39">
        <v>0.76</v>
      </c>
      <c r="AM32" s="42">
        <f t="shared" si="25"/>
        <v>0</v>
      </c>
      <c r="AN32" s="42">
        <f t="shared" si="26"/>
        <v>0</v>
      </c>
      <c r="AO32" s="39">
        <v>0.05</v>
      </c>
      <c r="AP32" s="42">
        <f t="shared" si="27"/>
        <v>0</v>
      </c>
      <c r="AQ32" s="42">
        <f t="shared" si="28"/>
        <v>0</v>
      </c>
      <c r="AR32" s="39">
        <v>0.7</v>
      </c>
      <c r="AS32" s="42">
        <f t="shared" si="29"/>
        <v>0</v>
      </c>
      <c r="AT32" s="42">
        <f t="shared" si="30"/>
        <v>0</v>
      </c>
      <c r="AU32" s="39">
        <v>0.05</v>
      </c>
      <c r="AV32" s="42">
        <f t="shared" si="31"/>
        <v>0</v>
      </c>
      <c r="AW32" s="42">
        <f t="shared" si="32"/>
        <v>0</v>
      </c>
      <c r="AX32" s="39">
        <v>0.65</v>
      </c>
      <c r="AY32" s="42">
        <f t="shared" si="33"/>
        <v>0</v>
      </c>
      <c r="AZ32" s="42">
        <f t="shared" si="34"/>
        <v>0</v>
      </c>
      <c r="BA32" s="39">
        <v>0.05</v>
      </c>
      <c r="BB32" s="42">
        <f t="shared" si="35"/>
        <v>0</v>
      </c>
      <c r="BC32" s="42">
        <f t="shared" si="36"/>
        <v>0</v>
      </c>
      <c r="BD32" s="67">
        <v>0.35</v>
      </c>
      <c r="BE32" s="42">
        <f t="shared" si="37"/>
        <v>0</v>
      </c>
      <c r="BF32" s="42">
        <f t="shared" si="38"/>
        <v>0</v>
      </c>
      <c r="BG32" s="39">
        <v>0.05</v>
      </c>
      <c r="BH32" s="42">
        <f t="shared" si="39"/>
        <v>0</v>
      </c>
      <c r="BI32" s="42">
        <f t="shared" si="40"/>
        <v>0</v>
      </c>
      <c r="BN32" s="18"/>
      <c r="BO32" s="19"/>
      <c r="BP32" s="12">
        <f t="shared" si="43"/>
        <v>0</v>
      </c>
    </row>
    <row r="33" spans="2:68" x14ac:dyDescent="0.25">
      <c r="B33" s="13">
        <f>+B31+1</f>
        <v>23</v>
      </c>
      <c r="C33" s="17" t="s">
        <v>34</v>
      </c>
      <c r="D33" s="24">
        <v>1</v>
      </c>
      <c r="E33" s="24">
        <v>1</v>
      </c>
      <c r="F33" s="26">
        <f>+D33+E33</f>
        <v>2</v>
      </c>
      <c r="G33" s="25">
        <v>470</v>
      </c>
      <c r="H33" s="41">
        <v>0.21</v>
      </c>
      <c r="I33" s="42">
        <f t="shared" si="5"/>
        <v>98.7</v>
      </c>
      <c r="J33" s="43">
        <f t="shared" si="6"/>
        <v>568.70000000000005</v>
      </c>
      <c r="K33" s="41">
        <v>0.05</v>
      </c>
      <c r="L33" s="42">
        <f t="shared" si="7"/>
        <v>28.435000000000002</v>
      </c>
      <c r="M33" s="45">
        <f t="shared" si="8"/>
        <v>597.13499999999999</v>
      </c>
      <c r="N33" s="39">
        <v>0.85</v>
      </c>
      <c r="O33" s="42">
        <f t="shared" si="9"/>
        <v>483.39500000000004</v>
      </c>
      <c r="P33" s="42">
        <f t="shared" si="10"/>
        <v>1052.095</v>
      </c>
      <c r="Q33" s="39">
        <v>0.05</v>
      </c>
      <c r="R33" s="42">
        <f t="shared" si="11"/>
        <v>52.604750000000003</v>
      </c>
      <c r="S33" s="43">
        <f t="shared" si="12"/>
        <v>1104.69975</v>
      </c>
      <c r="T33" s="39">
        <v>0.84</v>
      </c>
      <c r="U33" s="42">
        <f t="shared" si="13"/>
        <v>406.05180000000001</v>
      </c>
      <c r="V33" s="42">
        <f t="shared" si="14"/>
        <v>974.7518</v>
      </c>
      <c r="W33" s="39">
        <v>0.05</v>
      </c>
      <c r="X33" s="42">
        <f t="shared" si="15"/>
        <v>48.737590000000004</v>
      </c>
      <c r="Y33" s="42">
        <f t="shared" si="16"/>
        <v>1023.48939</v>
      </c>
      <c r="Z33" s="39">
        <v>0.83</v>
      </c>
      <c r="AA33" s="42">
        <f t="shared" si="17"/>
        <v>472.02100000000002</v>
      </c>
      <c r="AB33" s="42">
        <f t="shared" si="18"/>
        <v>1040.721</v>
      </c>
      <c r="AC33" s="39">
        <v>0.05</v>
      </c>
      <c r="AD33" s="42">
        <f t="shared" si="19"/>
        <v>52.036050000000003</v>
      </c>
      <c r="AE33" s="42">
        <f t="shared" si="20"/>
        <v>1092.7570499999999</v>
      </c>
      <c r="AF33" s="39">
        <v>0.82</v>
      </c>
      <c r="AG33" s="42">
        <f t="shared" si="21"/>
        <v>466.334</v>
      </c>
      <c r="AH33" s="42">
        <f t="shared" si="22"/>
        <v>1035.0340000000001</v>
      </c>
      <c r="AI33" s="39">
        <v>0.05</v>
      </c>
      <c r="AJ33" s="42">
        <f t="shared" si="23"/>
        <v>51.751700000000007</v>
      </c>
      <c r="AK33" s="42">
        <f t="shared" si="24"/>
        <v>1086.7857000000001</v>
      </c>
      <c r="AL33" s="39">
        <v>0.76</v>
      </c>
      <c r="AM33" s="42">
        <f t="shared" si="25"/>
        <v>432.21200000000005</v>
      </c>
      <c r="AN33" s="42">
        <f t="shared" si="26"/>
        <v>1000.912</v>
      </c>
      <c r="AO33" s="39">
        <v>0.05</v>
      </c>
      <c r="AP33" s="42">
        <f t="shared" si="27"/>
        <v>50.045600000000007</v>
      </c>
      <c r="AQ33" s="42">
        <f t="shared" si="28"/>
        <v>1050.9576</v>
      </c>
      <c r="AR33" s="39">
        <v>0.7</v>
      </c>
      <c r="AS33" s="42">
        <f t="shared" si="29"/>
        <v>398.09000000000003</v>
      </c>
      <c r="AT33" s="42">
        <f t="shared" si="30"/>
        <v>966.79000000000008</v>
      </c>
      <c r="AU33" s="39">
        <v>0.05</v>
      </c>
      <c r="AV33" s="42">
        <f t="shared" si="31"/>
        <v>48.339500000000008</v>
      </c>
      <c r="AW33" s="42">
        <f t="shared" si="32"/>
        <v>1015.1295000000001</v>
      </c>
      <c r="AX33" s="39">
        <v>0.65</v>
      </c>
      <c r="AY33" s="42">
        <f t="shared" si="33"/>
        <v>369.65500000000003</v>
      </c>
      <c r="AZ33" s="42">
        <f t="shared" si="34"/>
        <v>938.35500000000002</v>
      </c>
      <c r="BA33" s="39">
        <v>0.05</v>
      </c>
      <c r="BB33" s="42">
        <f t="shared" si="35"/>
        <v>46.917750000000005</v>
      </c>
      <c r="BC33" s="42">
        <f t="shared" si="36"/>
        <v>985.27274999999997</v>
      </c>
      <c r="BD33" s="67">
        <v>0.35</v>
      </c>
      <c r="BE33" s="42">
        <f t="shared" si="37"/>
        <v>199.04500000000002</v>
      </c>
      <c r="BF33" s="42">
        <f t="shared" si="38"/>
        <v>767.74500000000012</v>
      </c>
      <c r="BG33" s="39">
        <v>0.05</v>
      </c>
      <c r="BH33" s="42">
        <f t="shared" si="39"/>
        <v>38.387250000000009</v>
      </c>
      <c r="BI33" s="42">
        <f t="shared" si="40"/>
        <v>806.13225000000011</v>
      </c>
      <c r="BN33" s="25">
        <f>+G33*5%</f>
        <v>23.5</v>
      </c>
      <c r="BO33" s="19">
        <f t="shared" ref="BO33:BO53" si="50">+G33+BN33</f>
        <v>493.5</v>
      </c>
      <c r="BP33" s="12">
        <f t="shared" si="43"/>
        <v>987</v>
      </c>
    </row>
    <row r="34" spans="2:68" x14ac:dyDescent="0.25">
      <c r="B34" s="13">
        <f>+B33+1</f>
        <v>24</v>
      </c>
      <c r="C34" s="17" t="s">
        <v>35</v>
      </c>
      <c r="D34" s="24">
        <v>1</v>
      </c>
      <c r="E34" s="24">
        <v>1</v>
      </c>
      <c r="F34" s="26">
        <f>+D34+E34</f>
        <v>2</v>
      </c>
      <c r="G34" s="25">
        <v>470</v>
      </c>
      <c r="H34" s="41">
        <v>0.21</v>
      </c>
      <c r="I34" s="42">
        <f t="shared" si="5"/>
        <v>98.7</v>
      </c>
      <c r="J34" s="43">
        <f t="shared" si="6"/>
        <v>568.70000000000005</v>
      </c>
      <c r="K34" s="41">
        <v>0.05</v>
      </c>
      <c r="L34" s="42">
        <f t="shared" si="7"/>
        <v>28.435000000000002</v>
      </c>
      <c r="M34" s="45">
        <f t="shared" si="8"/>
        <v>597.13499999999999</v>
      </c>
      <c r="N34" s="39">
        <v>0.85</v>
      </c>
      <c r="O34" s="42">
        <f t="shared" si="9"/>
        <v>483.39500000000004</v>
      </c>
      <c r="P34" s="42">
        <f t="shared" si="10"/>
        <v>1052.095</v>
      </c>
      <c r="Q34" s="39">
        <v>0.05</v>
      </c>
      <c r="R34" s="42">
        <f t="shared" si="11"/>
        <v>52.604750000000003</v>
      </c>
      <c r="S34" s="43">
        <f t="shared" si="12"/>
        <v>1104.69975</v>
      </c>
      <c r="T34" s="39">
        <v>0.84</v>
      </c>
      <c r="U34" s="42">
        <f t="shared" si="13"/>
        <v>406.05180000000001</v>
      </c>
      <c r="V34" s="42">
        <f t="shared" si="14"/>
        <v>974.7518</v>
      </c>
      <c r="W34" s="39">
        <v>0.05</v>
      </c>
      <c r="X34" s="42">
        <f t="shared" si="15"/>
        <v>48.737590000000004</v>
      </c>
      <c r="Y34" s="42">
        <f t="shared" si="16"/>
        <v>1023.48939</v>
      </c>
      <c r="Z34" s="39">
        <v>0.83</v>
      </c>
      <c r="AA34" s="42">
        <f t="shared" si="17"/>
        <v>472.02100000000002</v>
      </c>
      <c r="AB34" s="42">
        <f t="shared" si="18"/>
        <v>1040.721</v>
      </c>
      <c r="AC34" s="39">
        <v>0.05</v>
      </c>
      <c r="AD34" s="42">
        <f t="shared" si="19"/>
        <v>52.036050000000003</v>
      </c>
      <c r="AE34" s="42">
        <f t="shared" si="20"/>
        <v>1092.7570499999999</v>
      </c>
      <c r="AF34" s="39">
        <v>0.82</v>
      </c>
      <c r="AG34" s="42">
        <f t="shared" si="21"/>
        <v>466.334</v>
      </c>
      <c r="AH34" s="42">
        <f t="shared" si="22"/>
        <v>1035.0340000000001</v>
      </c>
      <c r="AI34" s="39">
        <v>0.05</v>
      </c>
      <c r="AJ34" s="42">
        <f t="shared" si="23"/>
        <v>51.751700000000007</v>
      </c>
      <c r="AK34" s="42">
        <f t="shared" si="24"/>
        <v>1086.7857000000001</v>
      </c>
      <c r="AL34" s="39">
        <v>0.76</v>
      </c>
      <c r="AM34" s="42">
        <f t="shared" si="25"/>
        <v>432.21200000000005</v>
      </c>
      <c r="AN34" s="42">
        <f t="shared" si="26"/>
        <v>1000.912</v>
      </c>
      <c r="AO34" s="39">
        <v>0.05</v>
      </c>
      <c r="AP34" s="42">
        <f t="shared" si="27"/>
        <v>50.045600000000007</v>
      </c>
      <c r="AQ34" s="42">
        <f t="shared" si="28"/>
        <v>1050.9576</v>
      </c>
      <c r="AR34" s="39">
        <v>0.7</v>
      </c>
      <c r="AS34" s="42">
        <f t="shared" si="29"/>
        <v>398.09000000000003</v>
      </c>
      <c r="AT34" s="42">
        <f t="shared" si="30"/>
        <v>966.79000000000008</v>
      </c>
      <c r="AU34" s="39">
        <v>0.05</v>
      </c>
      <c r="AV34" s="42">
        <f t="shared" si="31"/>
        <v>48.339500000000008</v>
      </c>
      <c r="AW34" s="42">
        <f t="shared" si="32"/>
        <v>1015.1295000000001</v>
      </c>
      <c r="AX34" s="39">
        <v>0.65</v>
      </c>
      <c r="AY34" s="42">
        <f t="shared" si="33"/>
        <v>369.65500000000003</v>
      </c>
      <c r="AZ34" s="42">
        <f t="shared" si="34"/>
        <v>938.35500000000002</v>
      </c>
      <c r="BA34" s="39">
        <v>0.05</v>
      </c>
      <c r="BB34" s="42">
        <f t="shared" si="35"/>
        <v>46.917750000000005</v>
      </c>
      <c r="BC34" s="42">
        <f t="shared" si="36"/>
        <v>985.27274999999997</v>
      </c>
      <c r="BD34" s="67">
        <v>0.35</v>
      </c>
      <c r="BE34" s="42">
        <f t="shared" si="37"/>
        <v>199.04500000000002</v>
      </c>
      <c r="BF34" s="42">
        <f t="shared" si="38"/>
        <v>767.74500000000012</v>
      </c>
      <c r="BG34" s="39">
        <v>0.05</v>
      </c>
      <c r="BH34" s="42">
        <f t="shared" si="39"/>
        <v>38.387250000000009</v>
      </c>
      <c r="BI34" s="42">
        <f t="shared" si="40"/>
        <v>806.13225000000011</v>
      </c>
      <c r="BN34" s="25">
        <f>+G34*5%</f>
        <v>23.5</v>
      </c>
      <c r="BO34" s="19">
        <f t="shared" si="50"/>
        <v>493.5</v>
      </c>
      <c r="BP34" s="12">
        <f t="shared" si="43"/>
        <v>987</v>
      </c>
    </row>
    <row r="35" spans="2:68" x14ac:dyDescent="0.25">
      <c r="B35" s="13">
        <f>+B34+1</f>
        <v>25</v>
      </c>
      <c r="C35" s="17" t="s">
        <v>36</v>
      </c>
      <c r="D35" s="24">
        <v>1</v>
      </c>
      <c r="E35" s="24">
        <v>1</v>
      </c>
      <c r="F35" s="26">
        <f>+D35+E35</f>
        <v>2</v>
      </c>
      <c r="G35" s="25">
        <v>470</v>
      </c>
      <c r="H35" s="41">
        <v>0.21</v>
      </c>
      <c r="I35" s="42">
        <f t="shared" si="5"/>
        <v>98.7</v>
      </c>
      <c r="J35" s="43">
        <f t="shared" si="6"/>
        <v>568.70000000000005</v>
      </c>
      <c r="K35" s="41">
        <v>0.05</v>
      </c>
      <c r="L35" s="42">
        <f t="shared" si="7"/>
        <v>28.435000000000002</v>
      </c>
      <c r="M35" s="45">
        <f t="shared" si="8"/>
        <v>597.13499999999999</v>
      </c>
      <c r="N35" s="39">
        <v>0.85</v>
      </c>
      <c r="O35" s="42">
        <f t="shared" si="9"/>
        <v>483.39500000000004</v>
      </c>
      <c r="P35" s="42">
        <f t="shared" si="10"/>
        <v>1052.095</v>
      </c>
      <c r="Q35" s="39">
        <v>0.05</v>
      </c>
      <c r="R35" s="42">
        <f t="shared" si="11"/>
        <v>52.604750000000003</v>
      </c>
      <c r="S35" s="43">
        <f t="shared" si="12"/>
        <v>1104.69975</v>
      </c>
      <c r="T35" s="39">
        <v>0.84</v>
      </c>
      <c r="U35" s="42">
        <f t="shared" si="13"/>
        <v>406.05180000000001</v>
      </c>
      <c r="V35" s="42">
        <f t="shared" si="14"/>
        <v>974.7518</v>
      </c>
      <c r="W35" s="39">
        <v>0.05</v>
      </c>
      <c r="X35" s="42">
        <f t="shared" si="15"/>
        <v>48.737590000000004</v>
      </c>
      <c r="Y35" s="42">
        <f t="shared" si="16"/>
        <v>1023.48939</v>
      </c>
      <c r="Z35" s="39">
        <v>0.83</v>
      </c>
      <c r="AA35" s="42">
        <f t="shared" si="17"/>
        <v>472.02100000000002</v>
      </c>
      <c r="AB35" s="42">
        <f t="shared" si="18"/>
        <v>1040.721</v>
      </c>
      <c r="AC35" s="39">
        <v>0.05</v>
      </c>
      <c r="AD35" s="42">
        <f t="shared" si="19"/>
        <v>52.036050000000003</v>
      </c>
      <c r="AE35" s="42">
        <f t="shared" si="20"/>
        <v>1092.7570499999999</v>
      </c>
      <c r="AF35" s="39">
        <v>0.82</v>
      </c>
      <c r="AG35" s="42">
        <f t="shared" si="21"/>
        <v>466.334</v>
      </c>
      <c r="AH35" s="42">
        <f t="shared" si="22"/>
        <v>1035.0340000000001</v>
      </c>
      <c r="AI35" s="39">
        <v>0.05</v>
      </c>
      <c r="AJ35" s="42">
        <f t="shared" si="23"/>
        <v>51.751700000000007</v>
      </c>
      <c r="AK35" s="42">
        <f t="shared" si="24"/>
        <v>1086.7857000000001</v>
      </c>
      <c r="AL35" s="39">
        <v>0.76</v>
      </c>
      <c r="AM35" s="42">
        <f t="shared" si="25"/>
        <v>432.21200000000005</v>
      </c>
      <c r="AN35" s="42">
        <f t="shared" si="26"/>
        <v>1000.912</v>
      </c>
      <c r="AO35" s="39">
        <v>0.05</v>
      </c>
      <c r="AP35" s="42">
        <f t="shared" si="27"/>
        <v>50.045600000000007</v>
      </c>
      <c r="AQ35" s="42">
        <f t="shared" si="28"/>
        <v>1050.9576</v>
      </c>
      <c r="AR35" s="39">
        <v>0.7</v>
      </c>
      <c r="AS35" s="42">
        <f t="shared" si="29"/>
        <v>398.09000000000003</v>
      </c>
      <c r="AT35" s="42">
        <f t="shared" si="30"/>
        <v>966.79000000000008</v>
      </c>
      <c r="AU35" s="39">
        <v>0.05</v>
      </c>
      <c r="AV35" s="42">
        <f t="shared" si="31"/>
        <v>48.339500000000008</v>
      </c>
      <c r="AW35" s="42">
        <f t="shared" si="32"/>
        <v>1015.1295000000001</v>
      </c>
      <c r="AX35" s="39">
        <v>0.65</v>
      </c>
      <c r="AY35" s="42">
        <f t="shared" si="33"/>
        <v>369.65500000000003</v>
      </c>
      <c r="AZ35" s="42">
        <f t="shared" si="34"/>
        <v>938.35500000000002</v>
      </c>
      <c r="BA35" s="39">
        <v>0.05</v>
      </c>
      <c r="BB35" s="42">
        <f t="shared" si="35"/>
        <v>46.917750000000005</v>
      </c>
      <c r="BC35" s="42">
        <f t="shared" si="36"/>
        <v>985.27274999999997</v>
      </c>
      <c r="BD35" s="67">
        <v>0.35</v>
      </c>
      <c r="BE35" s="42">
        <f t="shared" si="37"/>
        <v>199.04500000000002</v>
      </c>
      <c r="BF35" s="42">
        <f t="shared" si="38"/>
        <v>767.74500000000012</v>
      </c>
      <c r="BG35" s="39">
        <v>0.05</v>
      </c>
      <c r="BH35" s="42">
        <f t="shared" si="39"/>
        <v>38.387250000000009</v>
      </c>
      <c r="BI35" s="42">
        <f t="shared" si="40"/>
        <v>806.13225000000011</v>
      </c>
      <c r="BN35" s="25">
        <f>+G35*5%</f>
        <v>23.5</v>
      </c>
      <c r="BO35" s="19">
        <f t="shared" si="50"/>
        <v>493.5</v>
      </c>
      <c r="BP35" s="12">
        <f t="shared" si="43"/>
        <v>987</v>
      </c>
    </row>
    <row r="36" spans="2:68" x14ac:dyDescent="0.25">
      <c r="B36" s="13">
        <f>+B35+1</f>
        <v>26</v>
      </c>
      <c r="C36" s="17" t="s">
        <v>37</v>
      </c>
      <c r="D36" s="24">
        <v>1</v>
      </c>
      <c r="E36" s="24">
        <v>1</v>
      </c>
      <c r="F36" s="26">
        <f>+D36+E36</f>
        <v>2</v>
      </c>
      <c r="G36" s="25">
        <v>470</v>
      </c>
      <c r="H36" s="41">
        <v>0.21</v>
      </c>
      <c r="I36" s="42">
        <f t="shared" si="5"/>
        <v>98.7</v>
      </c>
      <c r="J36" s="43">
        <f t="shared" si="6"/>
        <v>568.70000000000005</v>
      </c>
      <c r="K36" s="41">
        <v>0.05</v>
      </c>
      <c r="L36" s="42">
        <f t="shared" si="7"/>
        <v>28.435000000000002</v>
      </c>
      <c r="M36" s="45">
        <f t="shared" si="8"/>
        <v>597.13499999999999</v>
      </c>
      <c r="N36" s="39">
        <v>0.85</v>
      </c>
      <c r="O36" s="42">
        <f t="shared" si="9"/>
        <v>483.39500000000004</v>
      </c>
      <c r="P36" s="42">
        <f t="shared" si="10"/>
        <v>1052.095</v>
      </c>
      <c r="Q36" s="39">
        <v>0.05</v>
      </c>
      <c r="R36" s="42">
        <f t="shared" si="11"/>
        <v>52.604750000000003</v>
      </c>
      <c r="S36" s="43">
        <f t="shared" si="12"/>
        <v>1104.69975</v>
      </c>
      <c r="T36" s="39">
        <v>0.84</v>
      </c>
      <c r="U36" s="42">
        <f t="shared" si="13"/>
        <v>406.05180000000001</v>
      </c>
      <c r="V36" s="42">
        <f t="shared" si="14"/>
        <v>974.7518</v>
      </c>
      <c r="W36" s="39">
        <v>0.05</v>
      </c>
      <c r="X36" s="42">
        <f t="shared" si="15"/>
        <v>48.737590000000004</v>
      </c>
      <c r="Y36" s="42">
        <f t="shared" si="16"/>
        <v>1023.48939</v>
      </c>
      <c r="Z36" s="39">
        <v>0.83</v>
      </c>
      <c r="AA36" s="42">
        <f t="shared" si="17"/>
        <v>472.02100000000002</v>
      </c>
      <c r="AB36" s="42">
        <f t="shared" si="18"/>
        <v>1040.721</v>
      </c>
      <c r="AC36" s="39">
        <v>0.05</v>
      </c>
      <c r="AD36" s="42">
        <f t="shared" si="19"/>
        <v>52.036050000000003</v>
      </c>
      <c r="AE36" s="42">
        <f t="shared" si="20"/>
        <v>1092.7570499999999</v>
      </c>
      <c r="AF36" s="39">
        <v>0.82</v>
      </c>
      <c r="AG36" s="42">
        <f t="shared" si="21"/>
        <v>466.334</v>
      </c>
      <c r="AH36" s="42">
        <f t="shared" si="22"/>
        <v>1035.0340000000001</v>
      </c>
      <c r="AI36" s="39">
        <v>0.05</v>
      </c>
      <c r="AJ36" s="42">
        <f t="shared" si="23"/>
        <v>51.751700000000007</v>
      </c>
      <c r="AK36" s="42">
        <f t="shared" si="24"/>
        <v>1086.7857000000001</v>
      </c>
      <c r="AL36" s="39">
        <v>0.76</v>
      </c>
      <c r="AM36" s="42">
        <f t="shared" si="25"/>
        <v>432.21200000000005</v>
      </c>
      <c r="AN36" s="42">
        <f t="shared" si="26"/>
        <v>1000.912</v>
      </c>
      <c r="AO36" s="39">
        <v>0.05</v>
      </c>
      <c r="AP36" s="42">
        <f t="shared" si="27"/>
        <v>50.045600000000007</v>
      </c>
      <c r="AQ36" s="42">
        <f t="shared" si="28"/>
        <v>1050.9576</v>
      </c>
      <c r="AR36" s="39">
        <v>0.7</v>
      </c>
      <c r="AS36" s="42">
        <f t="shared" si="29"/>
        <v>398.09000000000003</v>
      </c>
      <c r="AT36" s="42">
        <f t="shared" si="30"/>
        <v>966.79000000000008</v>
      </c>
      <c r="AU36" s="39">
        <v>0.05</v>
      </c>
      <c r="AV36" s="42">
        <f t="shared" si="31"/>
        <v>48.339500000000008</v>
      </c>
      <c r="AW36" s="42">
        <f t="shared" si="32"/>
        <v>1015.1295000000001</v>
      </c>
      <c r="AX36" s="39">
        <v>0.65</v>
      </c>
      <c r="AY36" s="42">
        <f t="shared" si="33"/>
        <v>369.65500000000003</v>
      </c>
      <c r="AZ36" s="42">
        <f t="shared" si="34"/>
        <v>938.35500000000002</v>
      </c>
      <c r="BA36" s="39">
        <v>0.05</v>
      </c>
      <c r="BB36" s="42">
        <f t="shared" si="35"/>
        <v>46.917750000000005</v>
      </c>
      <c r="BC36" s="42">
        <f t="shared" si="36"/>
        <v>985.27274999999997</v>
      </c>
      <c r="BD36" s="67">
        <v>0.35</v>
      </c>
      <c r="BE36" s="42">
        <f t="shared" si="37"/>
        <v>199.04500000000002</v>
      </c>
      <c r="BF36" s="42">
        <f t="shared" si="38"/>
        <v>767.74500000000012</v>
      </c>
      <c r="BG36" s="39">
        <v>0.05</v>
      </c>
      <c r="BH36" s="42">
        <f t="shared" si="39"/>
        <v>38.387250000000009</v>
      </c>
      <c r="BI36" s="42">
        <f t="shared" si="40"/>
        <v>806.13225000000011</v>
      </c>
      <c r="BN36" s="25">
        <f>+G36*5%</f>
        <v>23.5</v>
      </c>
      <c r="BO36" s="19">
        <f t="shared" si="50"/>
        <v>493.5</v>
      </c>
      <c r="BP36" s="12">
        <f t="shared" si="43"/>
        <v>987</v>
      </c>
    </row>
    <row r="37" spans="2:68" x14ac:dyDescent="0.25">
      <c r="B37" s="13"/>
      <c r="C37" s="32" t="s">
        <v>38</v>
      </c>
      <c r="D37" s="33"/>
      <c r="E37" s="34"/>
      <c r="F37" s="26"/>
      <c r="G37" s="25"/>
      <c r="H37" s="41">
        <v>0.21</v>
      </c>
      <c r="I37" s="42">
        <f t="shared" si="5"/>
        <v>0</v>
      </c>
      <c r="J37" s="43">
        <f t="shared" si="6"/>
        <v>0</v>
      </c>
      <c r="K37" s="41">
        <v>0.05</v>
      </c>
      <c r="L37" s="42">
        <f t="shared" si="7"/>
        <v>0</v>
      </c>
      <c r="M37" s="45">
        <f t="shared" si="8"/>
        <v>0</v>
      </c>
      <c r="N37" s="39">
        <v>0.85</v>
      </c>
      <c r="O37" s="42">
        <f t="shared" si="9"/>
        <v>0</v>
      </c>
      <c r="P37" s="42">
        <f t="shared" si="10"/>
        <v>0</v>
      </c>
      <c r="Q37" s="39">
        <v>0.05</v>
      </c>
      <c r="R37" s="42">
        <f t="shared" si="11"/>
        <v>0</v>
      </c>
      <c r="S37" s="43">
        <f t="shared" si="12"/>
        <v>0</v>
      </c>
      <c r="T37" s="39">
        <v>0.84</v>
      </c>
      <c r="U37" s="42">
        <f t="shared" si="13"/>
        <v>0</v>
      </c>
      <c r="V37" s="42">
        <f t="shared" si="14"/>
        <v>0</v>
      </c>
      <c r="W37" s="39">
        <v>0.05</v>
      </c>
      <c r="X37" s="42">
        <f t="shared" si="15"/>
        <v>0</v>
      </c>
      <c r="Y37" s="42">
        <f t="shared" si="16"/>
        <v>0</v>
      </c>
      <c r="Z37" s="39">
        <v>0.83</v>
      </c>
      <c r="AA37" s="42">
        <f t="shared" si="17"/>
        <v>0</v>
      </c>
      <c r="AB37" s="42">
        <f t="shared" si="18"/>
        <v>0</v>
      </c>
      <c r="AC37" s="39">
        <v>0.05</v>
      </c>
      <c r="AD37" s="42">
        <f t="shared" si="19"/>
        <v>0</v>
      </c>
      <c r="AE37" s="42">
        <f t="shared" si="20"/>
        <v>0</v>
      </c>
      <c r="AF37" s="39">
        <v>0.82</v>
      </c>
      <c r="AG37" s="42">
        <f t="shared" si="21"/>
        <v>0</v>
      </c>
      <c r="AH37" s="42">
        <f t="shared" si="22"/>
        <v>0</v>
      </c>
      <c r="AI37" s="39">
        <v>0.05</v>
      </c>
      <c r="AJ37" s="42">
        <f t="shared" si="23"/>
        <v>0</v>
      </c>
      <c r="AK37" s="42">
        <f t="shared" si="24"/>
        <v>0</v>
      </c>
      <c r="AL37" s="39">
        <v>0.76</v>
      </c>
      <c r="AM37" s="42">
        <f t="shared" si="25"/>
        <v>0</v>
      </c>
      <c r="AN37" s="42">
        <f t="shared" si="26"/>
        <v>0</v>
      </c>
      <c r="AO37" s="39">
        <v>0.05</v>
      </c>
      <c r="AP37" s="42">
        <f t="shared" si="27"/>
        <v>0</v>
      </c>
      <c r="AQ37" s="42">
        <f t="shared" si="28"/>
        <v>0</v>
      </c>
      <c r="AR37" s="39">
        <v>0.7</v>
      </c>
      <c r="AS37" s="42">
        <f t="shared" si="29"/>
        <v>0</v>
      </c>
      <c r="AT37" s="42">
        <f t="shared" si="30"/>
        <v>0</v>
      </c>
      <c r="AU37" s="39">
        <v>0.05</v>
      </c>
      <c r="AV37" s="42">
        <f t="shared" si="31"/>
        <v>0</v>
      </c>
      <c r="AW37" s="42">
        <f t="shared" si="32"/>
        <v>0</v>
      </c>
      <c r="AX37" s="39">
        <v>0.65</v>
      </c>
      <c r="AY37" s="42">
        <f t="shared" si="33"/>
        <v>0</v>
      </c>
      <c r="AZ37" s="42">
        <f t="shared" si="34"/>
        <v>0</v>
      </c>
      <c r="BA37" s="39">
        <v>0.05</v>
      </c>
      <c r="BB37" s="42">
        <f t="shared" si="35"/>
        <v>0</v>
      </c>
      <c r="BC37" s="42">
        <f t="shared" si="36"/>
        <v>0</v>
      </c>
      <c r="BD37" s="67">
        <v>0.35</v>
      </c>
      <c r="BE37" s="42">
        <f t="shared" si="37"/>
        <v>0</v>
      </c>
      <c r="BF37" s="42">
        <f t="shared" si="38"/>
        <v>0</v>
      </c>
      <c r="BG37" s="39">
        <v>0.05</v>
      </c>
      <c r="BH37" s="42">
        <f t="shared" si="39"/>
        <v>0</v>
      </c>
      <c r="BI37" s="42">
        <f t="shared" si="40"/>
        <v>0</v>
      </c>
      <c r="BN37" s="25"/>
      <c r="BO37" s="19">
        <f t="shared" si="50"/>
        <v>0</v>
      </c>
      <c r="BP37" s="12">
        <f t="shared" si="43"/>
        <v>0</v>
      </c>
    </row>
    <row r="38" spans="2:68" x14ac:dyDescent="0.25">
      <c r="B38" s="13">
        <f>B36+1</f>
        <v>27</v>
      </c>
      <c r="C38" s="31" t="s">
        <v>39</v>
      </c>
      <c r="D38" s="24">
        <v>1</v>
      </c>
      <c r="E38" s="24">
        <v>1</v>
      </c>
      <c r="F38" s="26">
        <f>+D38+E38</f>
        <v>2</v>
      </c>
      <c r="G38" s="25">
        <v>470</v>
      </c>
      <c r="H38" s="41">
        <v>0.21</v>
      </c>
      <c r="I38" s="42">
        <f t="shared" si="5"/>
        <v>98.7</v>
      </c>
      <c r="J38" s="43">
        <f t="shared" si="6"/>
        <v>568.70000000000005</v>
      </c>
      <c r="K38" s="41">
        <v>0.05</v>
      </c>
      <c r="L38" s="42">
        <f t="shared" si="7"/>
        <v>28.435000000000002</v>
      </c>
      <c r="M38" s="45">
        <f t="shared" si="8"/>
        <v>597.13499999999999</v>
      </c>
      <c r="N38" s="39">
        <v>0.85</v>
      </c>
      <c r="O38" s="42">
        <f t="shared" si="9"/>
        <v>483.39500000000004</v>
      </c>
      <c r="P38" s="42">
        <f t="shared" si="10"/>
        <v>1052.095</v>
      </c>
      <c r="Q38" s="39">
        <v>0.05</v>
      </c>
      <c r="R38" s="42">
        <f t="shared" si="11"/>
        <v>52.604750000000003</v>
      </c>
      <c r="S38" s="43">
        <f t="shared" si="12"/>
        <v>1104.69975</v>
      </c>
      <c r="T38" s="39">
        <v>0.84</v>
      </c>
      <c r="U38" s="42">
        <f t="shared" si="13"/>
        <v>406.05180000000001</v>
      </c>
      <c r="V38" s="42">
        <f t="shared" si="14"/>
        <v>974.7518</v>
      </c>
      <c r="W38" s="39">
        <v>0.05</v>
      </c>
      <c r="X38" s="42">
        <f t="shared" si="15"/>
        <v>48.737590000000004</v>
      </c>
      <c r="Y38" s="42">
        <f t="shared" si="16"/>
        <v>1023.48939</v>
      </c>
      <c r="Z38" s="39">
        <v>0.83</v>
      </c>
      <c r="AA38" s="42">
        <f t="shared" si="17"/>
        <v>472.02100000000002</v>
      </c>
      <c r="AB38" s="42">
        <f t="shared" si="18"/>
        <v>1040.721</v>
      </c>
      <c r="AC38" s="39">
        <v>0.05</v>
      </c>
      <c r="AD38" s="42">
        <f t="shared" si="19"/>
        <v>52.036050000000003</v>
      </c>
      <c r="AE38" s="42">
        <f t="shared" si="20"/>
        <v>1092.7570499999999</v>
      </c>
      <c r="AF38" s="39">
        <v>0.82</v>
      </c>
      <c r="AG38" s="42">
        <f t="shared" si="21"/>
        <v>466.334</v>
      </c>
      <c r="AH38" s="42">
        <f t="shared" si="22"/>
        <v>1035.0340000000001</v>
      </c>
      <c r="AI38" s="39">
        <v>0.05</v>
      </c>
      <c r="AJ38" s="42">
        <f t="shared" si="23"/>
        <v>51.751700000000007</v>
      </c>
      <c r="AK38" s="42">
        <f t="shared" si="24"/>
        <v>1086.7857000000001</v>
      </c>
      <c r="AL38" s="39">
        <v>0.76</v>
      </c>
      <c r="AM38" s="42">
        <f t="shared" si="25"/>
        <v>432.21200000000005</v>
      </c>
      <c r="AN38" s="42">
        <f t="shared" si="26"/>
        <v>1000.912</v>
      </c>
      <c r="AO38" s="39">
        <v>0.05</v>
      </c>
      <c r="AP38" s="42">
        <f t="shared" si="27"/>
        <v>50.045600000000007</v>
      </c>
      <c r="AQ38" s="42">
        <f t="shared" si="28"/>
        <v>1050.9576</v>
      </c>
      <c r="AR38" s="39">
        <v>0.7</v>
      </c>
      <c r="AS38" s="42">
        <f t="shared" si="29"/>
        <v>398.09000000000003</v>
      </c>
      <c r="AT38" s="42">
        <f t="shared" si="30"/>
        <v>966.79000000000008</v>
      </c>
      <c r="AU38" s="39">
        <v>0.05</v>
      </c>
      <c r="AV38" s="42">
        <f t="shared" si="31"/>
        <v>48.339500000000008</v>
      </c>
      <c r="AW38" s="42">
        <f t="shared" si="32"/>
        <v>1015.1295000000001</v>
      </c>
      <c r="AX38" s="39">
        <v>0.65</v>
      </c>
      <c r="AY38" s="42">
        <f t="shared" si="33"/>
        <v>369.65500000000003</v>
      </c>
      <c r="AZ38" s="42">
        <f t="shared" si="34"/>
        <v>938.35500000000002</v>
      </c>
      <c r="BA38" s="39">
        <v>0.05</v>
      </c>
      <c r="BB38" s="42">
        <f t="shared" si="35"/>
        <v>46.917750000000005</v>
      </c>
      <c r="BC38" s="42">
        <f t="shared" si="36"/>
        <v>985.27274999999997</v>
      </c>
      <c r="BD38" s="67">
        <v>0.35</v>
      </c>
      <c r="BE38" s="42">
        <f t="shared" si="37"/>
        <v>199.04500000000002</v>
      </c>
      <c r="BF38" s="42">
        <f t="shared" si="38"/>
        <v>767.74500000000012</v>
      </c>
      <c r="BG38" s="39">
        <v>0.05</v>
      </c>
      <c r="BH38" s="42">
        <f t="shared" si="39"/>
        <v>38.387250000000009</v>
      </c>
      <c r="BI38" s="42">
        <f t="shared" si="40"/>
        <v>806.13225000000011</v>
      </c>
      <c r="BN38" s="25">
        <f t="shared" ref="BN38:BN53" si="51">+G38*5%</f>
        <v>23.5</v>
      </c>
      <c r="BO38" s="19">
        <f t="shared" si="50"/>
        <v>493.5</v>
      </c>
      <c r="BP38" s="12">
        <f t="shared" si="43"/>
        <v>987</v>
      </c>
    </row>
    <row r="39" spans="2:68" x14ac:dyDescent="0.25">
      <c r="B39" s="13">
        <f>B38+1</f>
        <v>28</v>
      </c>
      <c r="C39" s="31" t="s">
        <v>40</v>
      </c>
      <c r="D39" s="24">
        <v>1</v>
      </c>
      <c r="E39" s="24">
        <v>1</v>
      </c>
      <c r="F39" s="26">
        <f>+D39+E39</f>
        <v>2</v>
      </c>
      <c r="G39" s="25">
        <v>470</v>
      </c>
      <c r="H39" s="41">
        <v>0.21</v>
      </c>
      <c r="I39" s="42">
        <f t="shared" si="5"/>
        <v>98.7</v>
      </c>
      <c r="J39" s="43">
        <f t="shared" si="6"/>
        <v>568.70000000000005</v>
      </c>
      <c r="K39" s="41">
        <v>0.05</v>
      </c>
      <c r="L39" s="42">
        <f t="shared" si="7"/>
        <v>28.435000000000002</v>
      </c>
      <c r="M39" s="45">
        <f t="shared" si="8"/>
        <v>597.13499999999999</v>
      </c>
      <c r="N39" s="39">
        <v>0.85</v>
      </c>
      <c r="O39" s="42">
        <f t="shared" si="9"/>
        <v>483.39500000000004</v>
      </c>
      <c r="P39" s="42">
        <f t="shared" si="10"/>
        <v>1052.095</v>
      </c>
      <c r="Q39" s="39">
        <v>0.05</v>
      </c>
      <c r="R39" s="42">
        <f t="shared" si="11"/>
        <v>52.604750000000003</v>
      </c>
      <c r="S39" s="43">
        <f t="shared" si="12"/>
        <v>1104.69975</v>
      </c>
      <c r="T39" s="39">
        <v>0.84</v>
      </c>
      <c r="U39" s="42">
        <f t="shared" si="13"/>
        <v>406.05180000000001</v>
      </c>
      <c r="V39" s="42">
        <f t="shared" si="14"/>
        <v>974.7518</v>
      </c>
      <c r="W39" s="39">
        <v>0.05</v>
      </c>
      <c r="X39" s="42">
        <f t="shared" si="15"/>
        <v>48.737590000000004</v>
      </c>
      <c r="Y39" s="42">
        <f t="shared" si="16"/>
        <v>1023.48939</v>
      </c>
      <c r="Z39" s="39">
        <v>0.83</v>
      </c>
      <c r="AA39" s="42">
        <f t="shared" si="17"/>
        <v>472.02100000000002</v>
      </c>
      <c r="AB39" s="42">
        <f t="shared" si="18"/>
        <v>1040.721</v>
      </c>
      <c r="AC39" s="39">
        <v>0.05</v>
      </c>
      <c r="AD39" s="42">
        <f t="shared" si="19"/>
        <v>52.036050000000003</v>
      </c>
      <c r="AE39" s="42">
        <f t="shared" si="20"/>
        <v>1092.7570499999999</v>
      </c>
      <c r="AF39" s="39">
        <v>0.82</v>
      </c>
      <c r="AG39" s="42">
        <f t="shared" si="21"/>
        <v>466.334</v>
      </c>
      <c r="AH39" s="42">
        <f t="shared" si="22"/>
        <v>1035.0340000000001</v>
      </c>
      <c r="AI39" s="39">
        <v>0.05</v>
      </c>
      <c r="AJ39" s="42">
        <f t="shared" si="23"/>
        <v>51.751700000000007</v>
      </c>
      <c r="AK39" s="42">
        <f t="shared" si="24"/>
        <v>1086.7857000000001</v>
      </c>
      <c r="AL39" s="39">
        <v>0.76</v>
      </c>
      <c r="AM39" s="42">
        <f t="shared" si="25"/>
        <v>432.21200000000005</v>
      </c>
      <c r="AN39" s="42">
        <f t="shared" si="26"/>
        <v>1000.912</v>
      </c>
      <c r="AO39" s="39">
        <v>0.05</v>
      </c>
      <c r="AP39" s="42">
        <f t="shared" si="27"/>
        <v>50.045600000000007</v>
      </c>
      <c r="AQ39" s="42">
        <f t="shared" si="28"/>
        <v>1050.9576</v>
      </c>
      <c r="AR39" s="39">
        <v>0.7</v>
      </c>
      <c r="AS39" s="42">
        <f t="shared" si="29"/>
        <v>398.09000000000003</v>
      </c>
      <c r="AT39" s="42">
        <f t="shared" si="30"/>
        <v>966.79000000000008</v>
      </c>
      <c r="AU39" s="39">
        <v>0.05</v>
      </c>
      <c r="AV39" s="42">
        <f t="shared" si="31"/>
        <v>48.339500000000008</v>
      </c>
      <c r="AW39" s="42">
        <f t="shared" si="32"/>
        <v>1015.1295000000001</v>
      </c>
      <c r="AX39" s="39">
        <v>0.65</v>
      </c>
      <c r="AY39" s="42">
        <f t="shared" si="33"/>
        <v>369.65500000000003</v>
      </c>
      <c r="AZ39" s="42">
        <f t="shared" si="34"/>
        <v>938.35500000000002</v>
      </c>
      <c r="BA39" s="39">
        <v>0.05</v>
      </c>
      <c r="BB39" s="42">
        <f t="shared" si="35"/>
        <v>46.917750000000005</v>
      </c>
      <c r="BC39" s="42">
        <f t="shared" si="36"/>
        <v>985.27274999999997</v>
      </c>
      <c r="BD39" s="67">
        <v>0.35</v>
      </c>
      <c r="BE39" s="42">
        <f t="shared" si="37"/>
        <v>199.04500000000002</v>
      </c>
      <c r="BF39" s="42">
        <f t="shared" si="38"/>
        <v>767.74500000000012</v>
      </c>
      <c r="BG39" s="39">
        <v>0.05</v>
      </c>
      <c r="BH39" s="42">
        <f t="shared" si="39"/>
        <v>38.387250000000009</v>
      </c>
      <c r="BI39" s="42">
        <f t="shared" si="40"/>
        <v>806.13225000000011</v>
      </c>
      <c r="BN39" s="25">
        <f t="shared" si="51"/>
        <v>23.5</v>
      </c>
      <c r="BO39" s="19">
        <f t="shared" si="50"/>
        <v>493.5</v>
      </c>
      <c r="BP39" s="12">
        <f t="shared" si="43"/>
        <v>987</v>
      </c>
    </row>
    <row r="40" spans="2:68" x14ac:dyDescent="0.25">
      <c r="B40" s="13">
        <f>B39+1</f>
        <v>29</v>
      </c>
      <c r="C40" s="31" t="s">
        <v>41</v>
      </c>
      <c r="D40" s="24">
        <v>1</v>
      </c>
      <c r="E40" s="24">
        <v>1</v>
      </c>
      <c r="F40" s="26">
        <f>+D40+E40</f>
        <v>2</v>
      </c>
      <c r="G40" s="25">
        <v>470</v>
      </c>
      <c r="H40" s="41">
        <v>0.21</v>
      </c>
      <c r="I40" s="42">
        <f t="shared" si="5"/>
        <v>98.7</v>
      </c>
      <c r="J40" s="43">
        <f t="shared" si="6"/>
        <v>568.70000000000005</v>
      </c>
      <c r="K40" s="41">
        <v>0.05</v>
      </c>
      <c r="L40" s="42">
        <f t="shared" si="7"/>
        <v>28.435000000000002</v>
      </c>
      <c r="M40" s="45">
        <f t="shared" si="8"/>
        <v>597.13499999999999</v>
      </c>
      <c r="N40" s="39">
        <v>0.85</v>
      </c>
      <c r="O40" s="42">
        <f t="shared" si="9"/>
        <v>483.39500000000004</v>
      </c>
      <c r="P40" s="42">
        <f t="shared" si="10"/>
        <v>1052.095</v>
      </c>
      <c r="Q40" s="39">
        <v>0.05</v>
      </c>
      <c r="R40" s="42">
        <f t="shared" si="11"/>
        <v>52.604750000000003</v>
      </c>
      <c r="S40" s="43">
        <f t="shared" si="12"/>
        <v>1104.69975</v>
      </c>
      <c r="T40" s="39">
        <v>0.84</v>
      </c>
      <c r="U40" s="42">
        <f t="shared" si="13"/>
        <v>406.05180000000001</v>
      </c>
      <c r="V40" s="42">
        <f t="shared" si="14"/>
        <v>974.7518</v>
      </c>
      <c r="W40" s="39">
        <v>0.05</v>
      </c>
      <c r="X40" s="42">
        <f t="shared" si="15"/>
        <v>48.737590000000004</v>
      </c>
      <c r="Y40" s="42">
        <f t="shared" si="16"/>
        <v>1023.48939</v>
      </c>
      <c r="Z40" s="39">
        <v>0.83</v>
      </c>
      <c r="AA40" s="42">
        <f t="shared" si="17"/>
        <v>472.02100000000002</v>
      </c>
      <c r="AB40" s="42">
        <f t="shared" si="18"/>
        <v>1040.721</v>
      </c>
      <c r="AC40" s="39">
        <v>0.05</v>
      </c>
      <c r="AD40" s="42">
        <f t="shared" si="19"/>
        <v>52.036050000000003</v>
      </c>
      <c r="AE40" s="42">
        <f t="shared" si="20"/>
        <v>1092.7570499999999</v>
      </c>
      <c r="AF40" s="39">
        <v>0.82</v>
      </c>
      <c r="AG40" s="42">
        <f t="shared" si="21"/>
        <v>466.334</v>
      </c>
      <c r="AH40" s="42">
        <f t="shared" si="22"/>
        <v>1035.0340000000001</v>
      </c>
      <c r="AI40" s="39">
        <v>0.05</v>
      </c>
      <c r="AJ40" s="42">
        <f t="shared" si="23"/>
        <v>51.751700000000007</v>
      </c>
      <c r="AK40" s="42">
        <f t="shared" si="24"/>
        <v>1086.7857000000001</v>
      </c>
      <c r="AL40" s="39">
        <v>0.76</v>
      </c>
      <c r="AM40" s="42">
        <f t="shared" si="25"/>
        <v>432.21200000000005</v>
      </c>
      <c r="AN40" s="42">
        <f t="shared" si="26"/>
        <v>1000.912</v>
      </c>
      <c r="AO40" s="39">
        <v>0.05</v>
      </c>
      <c r="AP40" s="42">
        <f t="shared" si="27"/>
        <v>50.045600000000007</v>
      </c>
      <c r="AQ40" s="42">
        <f t="shared" si="28"/>
        <v>1050.9576</v>
      </c>
      <c r="AR40" s="39">
        <v>0.7</v>
      </c>
      <c r="AS40" s="42">
        <f t="shared" si="29"/>
        <v>398.09000000000003</v>
      </c>
      <c r="AT40" s="42">
        <f t="shared" si="30"/>
        <v>966.79000000000008</v>
      </c>
      <c r="AU40" s="39">
        <v>0.05</v>
      </c>
      <c r="AV40" s="42">
        <f t="shared" si="31"/>
        <v>48.339500000000008</v>
      </c>
      <c r="AW40" s="42">
        <f t="shared" si="32"/>
        <v>1015.1295000000001</v>
      </c>
      <c r="AX40" s="39">
        <v>0.65</v>
      </c>
      <c r="AY40" s="42">
        <f t="shared" si="33"/>
        <v>369.65500000000003</v>
      </c>
      <c r="AZ40" s="42">
        <f t="shared" si="34"/>
        <v>938.35500000000002</v>
      </c>
      <c r="BA40" s="39">
        <v>0.05</v>
      </c>
      <c r="BB40" s="42">
        <f t="shared" si="35"/>
        <v>46.917750000000005</v>
      </c>
      <c r="BC40" s="42">
        <f t="shared" si="36"/>
        <v>985.27274999999997</v>
      </c>
      <c r="BD40" s="67">
        <v>0.35</v>
      </c>
      <c r="BE40" s="42">
        <f t="shared" si="37"/>
        <v>199.04500000000002</v>
      </c>
      <c r="BF40" s="42">
        <f t="shared" si="38"/>
        <v>767.74500000000012</v>
      </c>
      <c r="BG40" s="39">
        <v>0.05</v>
      </c>
      <c r="BH40" s="42">
        <f t="shared" si="39"/>
        <v>38.387250000000009</v>
      </c>
      <c r="BI40" s="42">
        <f t="shared" si="40"/>
        <v>806.13225000000011</v>
      </c>
      <c r="BN40" s="25">
        <f t="shared" si="51"/>
        <v>23.5</v>
      </c>
      <c r="BO40" s="19">
        <f t="shared" si="50"/>
        <v>493.5</v>
      </c>
      <c r="BP40" s="12">
        <f t="shared" si="43"/>
        <v>987</v>
      </c>
    </row>
    <row r="41" spans="2:68" x14ac:dyDescent="0.25">
      <c r="B41" s="13">
        <f>B40+1</f>
        <v>30</v>
      </c>
      <c r="C41" s="31" t="s">
        <v>42</v>
      </c>
      <c r="D41" s="24">
        <v>1</v>
      </c>
      <c r="E41" s="24">
        <v>1</v>
      </c>
      <c r="F41" s="26">
        <f>+D41+E41</f>
        <v>2</v>
      </c>
      <c r="G41" s="25">
        <v>470</v>
      </c>
      <c r="H41" s="41">
        <v>0.21</v>
      </c>
      <c r="I41" s="42">
        <f t="shared" si="5"/>
        <v>98.7</v>
      </c>
      <c r="J41" s="43">
        <f t="shared" si="6"/>
        <v>568.70000000000005</v>
      </c>
      <c r="K41" s="41">
        <v>0.05</v>
      </c>
      <c r="L41" s="42">
        <f t="shared" si="7"/>
        <v>28.435000000000002</v>
      </c>
      <c r="M41" s="45">
        <f t="shared" si="8"/>
        <v>597.13499999999999</v>
      </c>
      <c r="N41" s="39">
        <v>0.85</v>
      </c>
      <c r="O41" s="42">
        <f t="shared" si="9"/>
        <v>483.39500000000004</v>
      </c>
      <c r="P41" s="42">
        <f t="shared" si="10"/>
        <v>1052.095</v>
      </c>
      <c r="Q41" s="39">
        <v>0.05</v>
      </c>
      <c r="R41" s="42">
        <f t="shared" si="11"/>
        <v>52.604750000000003</v>
      </c>
      <c r="S41" s="43">
        <f t="shared" si="12"/>
        <v>1104.69975</v>
      </c>
      <c r="T41" s="39">
        <v>0.84</v>
      </c>
      <c r="U41" s="42">
        <f t="shared" si="13"/>
        <v>406.05180000000001</v>
      </c>
      <c r="V41" s="42">
        <f t="shared" si="14"/>
        <v>974.7518</v>
      </c>
      <c r="W41" s="39">
        <v>0.05</v>
      </c>
      <c r="X41" s="42">
        <f t="shared" si="15"/>
        <v>48.737590000000004</v>
      </c>
      <c r="Y41" s="42">
        <f t="shared" si="16"/>
        <v>1023.48939</v>
      </c>
      <c r="Z41" s="39">
        <v>0.83</v>
      </c>
      <c r="AA41" s="42">
        <f t="shared" si="17"/>
        <v>472.02100000000002</v>
      </c>
      <c r="AB41" s="42">
        <f t="shared" si="18"/>
        <v>1040.721</v>
      </c>
      <c r="AC41" s="39">
        <v>0.05</v>
      </c>
      <c r="AD41" s="42">
        <f t="shared" si="19"/>
        <v>52.036050000000003</v>
      </c>
      <c r="AE41" s="42">
        <f t="shared" si="20"/>
        <v>1092.7570499999999</v>
      </c>
      <c r="AF41" s="39">
        <v>0.82</v>
      </c>
      <c r="AG41" s="42">
        <f t="shared" si="21"/>
        <v>466.334</v>
      </c>
      <c r="AH41" s="42">
        <f t="shared" si="22"/>
        <v>1035.0340000000001</v>
      </c>
      <c r="AI41" s="39">
        <v>0.05</v>
      </c>
      <c r="AJ41" s="42">
        <f t="shared" si="23"/>
        <v>51.751700000000007</v>
      </c>
      <c r="AK41" s="42">
        <f t="shared" si="24"/>
        <v>1086.7857000000001</v>
      </c>
      <c r="AL41" s="39">
        <v>0.76</v>
      </c>
      <c r="AM41" s="42">
        <f t="shared" si="25"/>
        <v>432.21200000000005</v>
      </c>
      <c r="AN41" s="42">
        <f t="shared" si="26"/>
        <v>1000.912</v>
      </c>
      <c r="AO41" s="39">
        <v>0.05</v>
      </c>
      <c r="AP41" s="42">
        <f t="shared" si="27"/>
        <v>50.045600000000007</v>
      </c>
      <c r="AQ41" s="42">
        <f t="shared" si="28"/>
        <v>1050.9576</v>
      </c>
      <c r="AR41" s="39">
        <v>0.7</v>
      </c>
      <c r="AS41" s="42">
        <f t="shared" si="29"/>
        <v>398.09000000000003</v>
      </c>
      <c r="AT41" s="42">
        <f t="shared" si="30"/>
        <v>966.79000000000008</v>
      </c>
      <c r="AU41" s="39">
        <v>0.05</v>
      </c>
      <c r="AV41" s="42">
        <f t="shared" si="31"/>
        <v>48.339500000000008</v>
      </c>
      <c r="AW41" s="42">
        <f t="shared" si="32"/>
        <v>1015.1295000000001</v>
      </c>
      <c r="AX41" s="39">
        <v>0.65</v>
      </c>
      <c r="AY41" s="42">
        <f t="shared" si="33"/>
        <v>369.65500000000003</v>
      </c>
      <c r="AZ41" s="42">
        <f t="shared" si="34"/>
        <v>938.35500000000002</v>
      </c>
      <c r="BA41" s="39">
        <v>0.05</v>
      </c>
      <c r="BB41" s="42">
        <f t="shared" si="35"/>
        <v>46.917750000000005</v>
      </c>
      <c r="BC41" s="42">
        <f t="shared" si="36"/>
        <v>985.27274999999997</v>
      </c>
      <c r="BD41" s="67">
        <v>0.35</v>
      </c>
      <c r="BE41" s="42">
        <f t="shared" si="37"/>
        <v>199.04500000000002</v>
      </c>
      <c r="BF41" s="42">
        <f t="shared" si="38"/>
        <v>767.74500000000012</v>
      </c>
      <c r="BG41" s="39">
        <v>0.05</v>
      </c>
      <c r="BH41" s="42">
        <f t="shared" si="39"/>
        <v>38.387250000000009</v>
      </c>
      <c r="BI41" s="42">
        <f t="shared" si="40"/>
        <v>806.13225000000011</v>
      </c>
      <c r="BN41" s="25">
        <f t="shared" si="51"/>
        <v>23.5</v>
      </c>
      <c r="BO41" s="19">
        <f t="shared" si="50"/>
        <v>493.5</v>
      </c>
      <c r="BP41" s="12">
        <f t="shared" si="43"/>
        <v>987</v>
      </c>
    </row>
    <row r="42" spans="2:68" x14ac:dyDescent="0.25">
      <c r="B42" s="13"/>
      <c r="C42" s="35" t="s">
        <v>43</v>
      </c>
      <c r="D42" s="27"/>
      <c r="E42" s="28"/>
      <c r="F42" s="26"/>
      <c r="G42" s="25"/>
      <c r="H42" s="41">
        <v>0.21</v>
      </c>
      <c r="I42" s="42">
        <f t="shared" si="5"/>
        <v>0</v>
      </c>
      <c r="J42" s="43">
        <f t="shared" si="6"/>
        <v>0</v>
      </c>
      <c r="K42" s="41">
        <v>0.05</v>
      </c>
      <c r="L42" s="42">
        <f t="shared" si="7"/>
        <v>0</v>
      </c>
      <c r="M42" s="45">
        <f t="shared" si="8"/>
        <v>0</v>
      </c>
      <c r="N42" s="39">
        <v>0.85</v>
      </c>
      <c r="O42" s="42">
        <f t="shared" si="9"/>
        <v>0</v>
      </c>
      <c r="P42" s="42">
        <f t="shared" si="10"/>
        <v>0</v>
      </c>
      <c r="Q42" s="39">
        <v>0.05</v>
      </c>
      <c r="R42" s="42">
        <f t="shared" si="11"/>
        <v>0</v>
      </c>
      <c r="S42" s="43">
        <f t="shared" si="12"/>
        <v>0</v>
      </c>
      <c r="T42" s="39">
        <v>0.84</v>
      </c>
      <c r="U42" s="42">
        <f t="shared" si="13"/>
        <v>0</v>
      </c>
      <c r="V42" s="42">
        <f t="shared" si="14"/>
        <v>0</v>
      </c>
      <c r="W42" s="39">
        <v>0.05</v>
      </c>
      <c r="X42" s="42">
        <f t="shared" si="15"/>
        <v>0</v>
      </c>
      <c r="Y42" s="42">
        <f t="shared" si="16"/>
        <v>0</v>
      </c>
      <c r="Z42" s="39">
        <v>0.83</v>
      </c>
      <c r="AA42" s="42">
        <f t="shared" si="17"/>
        <v>0</v>
      </c>
      <c r="AB42" s="42">
        <f t="shared" si="18"/>
        <v>0</v>
      </c>
      <c r="AC42" s="39">
        <v>0.05</v>
      </c>
      <c r="AD42" s="42">
        <f t="shared" si="19"/>
        <v>0</v>
      </c>
      <c r="AE42" s="42">
        <f t="shared" si="20"/>
        <v>0</v>
      </c>
      <c r="AF42" s="39">
        <v>0.82</v>
      </c>
      <c r="AG42" s="42">
        <f t="shared" si="21"/>
        <v>0</v>
      </c>
      <c r="AH42" s="42">
        <f t="shared" si="22"/>
        <v>0</v>
      </c>
      <c r="AI42" s="39">
        <v>0.05</v>
      </c>
      <c r="AJ42" s="42">
        <f t="shared" si="23"/>
        <v>0</v>
      </c>
      <c r="AK42" s="42">
        <f t="shared" si="24"/>
        <v>0</v>
      </c>
      <c r="AL42" s="39">
        <v>0.76</v>
      </c>
      <c r="AM42" s="42">
        <f t="shared" si="25"/>
        <v>0</v>
      </c>
      <c r="AN42" s="42">
        <f t="shared" si="26"/>
        <v>0</v>
      </c>
      <c r="AO42" s="39">
        <v>0.05</v>
      </c>
      <c r="AP42" s="42">
        <f t="shared" si="27"/>
        <v>0</v>
      </c>
      <c r="AQ42" s="42">
        <f t="shared" si="28"/>
        <v>0</v>
      </c>
      <c r="AR42" s="39">
        <v>0.7</v>
      </c>
      <c r="AS42" s="42">
        <f t="shared" si="29"/>
        <v>0</v>
      </c>
      <c r="AT42" s="42">
        <f t="shared" si="30"/>
        <v>0</v>
      </c>
      <c r="AU42" s="39">
        <v>0.05</v>
      </c>
      <c r="AV42" s="42">
        <f t="shared" si="31"/>
        <v>0</v>
      </c>
      <c r="AW42" s="42">
        <f t="shared" si="32"/>
        <v>0</v>
      </c>
      <c r="AX42" s="39">
        <v>0.65</v>
      </c>
      <c r="AY42" s="42">
        <f t="shared" si="33"/>
        <v>0</v>
      </c>
      <c r="AZ42" s="42">
        <f t="shared" si="34"/>
        <v>0</v>
      </c>
      <c r="BA42" s="39">
        <v>0.05</v>
      </c>
      <c r="BB42" s="42">
        <f t="shared" si="35"/>
        <v>0</v>
      </c>
      <c r="BC42" s="42">
        <f t="shared" si="36"/>
        <v>0</v>
      </c>
      <c r="BD42" s="67">
        <v>0.35</v>
      </c>
      <c r="BE42" s="42">
        <f t="shared" si="37"/>
        <v>0</v>
      </c>
      <c r="BF42" s="42">
        <f t="shared" si="38"/>
        <v>0</v>
      </c>
      <c r="BG42" s="39">
        <v>0.05</v>
      </c>
      <c r="BH42" s="42">
        <f t="shared" si="39"/>
        <v>0</v>
      </c>
      <c r="BI42" s="42">
        <f t="shared" si="40"/>
        <v>0</v>
      </c>
      <c r="BN42" s="25">
        <f t="shared" si="51"/>
        <v>0</v>
      </c>
      <c r="BO42" s="19">
        <f t="shared" si="50"/>
        <v>0</v>
      </c>
      <c r="BP42" s="12">
        <f t="shared" si="43"/>
        <v>0</v>
      </c>
    </row>
    <row r="43" spans="2:68" x14ac:dyDescent="0.25">
      <c r="B43" s="13">
        <f>B41+1</f>
        <v>31</v>
      </c>
      <c r="C43" s="36" t="s">
        <v>44</v>
      </c>
      <c r="D43" s="27">
        <v>1</v>
      </c>
      <c r="E43" s="28">
        <v>1</v>
      </c>
      <c r="F43" s="26" t="s">
        <v>98</v>
      </c>
      <c r="G43" s="25">
        <v>470</v>
      </c>
      <c r="H43" s="41">
        <v>0.21</v>
      </c>
      <c r="I43" s="42">
        <f t="shared" si="5"/>
        <v>98.7</v>
      </c>
      <c r="J43" s="43">
        <f t="shared" si="6"/>
        <v>568.70000000000005</v>
      </c>
      <c r="K43" s="41">
        <v>0.05</v>
      </c>
      <c r="L43" s="42">
        <f t="shared" si="7"/>
        <v>28.435000000000002</v>
      </c>
      <c r="M43" s="45">
        <f t="shared" si="8"/>
        <v>597.13499999999999</v>
      </c>
      <c r="N43" s="39">
        <v>0.85</v>
      </c>
      <c r="O43" s="42">
        <f t="shared" si="9"/>
        <v>483.39500000000004</v>
      </c>
      <c r="P43" s="42">
        <f t="shared" si="10"/>
        <v>1052.095</v>
      </c>
      <c r="Q43" s="39">
        <v>0.05</v>
      </c>
      <c r="R43" s="42">
        <f t="shared" si="11"/>
        <v>52.604750000000003</v>
      </c>
      <c r="S43" s="43">
        <f t="shared" si="12"/>
        <v>1104.69975</v>
      </c>
      <c r="T43" s="39">
        <v>0.84</v>
      </c>
      <c r="U43" s="42">
        <f t="shared" si="13"/>
        <v>406.05180000000001</v>
      </c>
      <c r="V43" s="42">
        <f t="shared" si="14"/>
        <v>974.7518</v>
      </c>
      <c r="W43" s="39">
        <v>0.05</v>
      </c>
      <c r="X43" s="42">
        <f t="shared" si="15"/>
        <v>48.737590000000004</v>
      </c>
      <c r="Y43" s="42">
        <f t="shared" si="16"/>
        <v>1023.48939</v>
      </c>
      <c r="Z43" s="39">
        <v>0.83</v>
      </c>
      <c r="AA43" s="42">
        <f t="shared" si="17"/>
        <v>472.02100000000002</v>
      </c>
      <c r="AB43" s="42">
        <f t="shared" si="18"/>
        <v>1040.721</v>
      </c>
      <c r="AC43" s="39">
        <v>0.05</v>
      </c>
      <c r="AD43" s="42">
        <f t="shared" si="19"/>
        <v>52.036050000000003</v>
      </c>
      <c r="AE43" s="42">
        <f t="shared" si="20"/>
        <v>1092.7570499999999</v>
      </c>
      <c r="AF43" s="39">
        <v>0.82</v>
      </c>
      <c r="AG43" s="42">
        <f t="shared" si="21"/>
        <v>466.334</v>
      </c>
      <c r="AH43" s="42">
        <f t="shared" si="22"/>
        <v>1035.0340000000001</v>
      </c>
      <c r="AI43" s="39">
        <v>0.05</v>
      </c>
      <c r="AJ43" s="42">
        <f t="shared" si="23"/>
        <v>51.751700000000007</v>
      </c>
      <c r="AK43" s="42">
        <f t="shared" si="24"/>
        <v>1086.7857000000001</v>
      </c>
      <c r="AL43" s="39">
        <v>0.76</v>
      </c>
      <c r="AM43" s="42">
        <f t="shared" si="25"/>
        <v>432.21200000000005</v>
      </c>
      <c r="AN43" s="42">
        <f t="shared" si="26"/>
        <v>1000.912</v>
      </c>
      <c r="AO43" s="39">
        <v>0.05</v>
      </c>
      <c r="AP43" s="42">
        <f t="shared" si="27"/>
        <v>50.045600000000007</v>
      </c>
      <c r="AQ43" s="42">
        <f t="shared" si="28"/>
        <v>1050.9576</v>
      </c>
      <c r="AR43" s="39">
        <v>0.7</v>
      </c>
      <c r="AS43" s="42">
        <f t="shared" si="29"/>
        <v>398.09000000000003</v>
      </c>
      <c r="AT43" s="42">
        <f t="shared" si="30"/>
        <v>966.79000000000008</v>
      </c>
      <c r="AU43" s="39">
        <v>0.05</v>
      </c>
      <c r="AV43" s="42">
        <f t="shared" si="31"/>
        <v>48.339500000000008</v>
      </c>
      <c r="AW43" s="42">
        <f t="shared" si="32"/>
        <v>1015.1295000000001</v>
      </c>
      <c r="AX43" s="39">
        <v>0.65</v>
      </c>
      <c r="AY43" s="42">
        <f t="shared" si="33"/>
        <v>369.65500000000003</v>
      </c>
      <c r="AZ43" s="42">
        <f t="shared" si="34"/>
        <v>938.35500000000002</v>
      </c>
      <c r="BA43" s="39">
        <v>0.05</v>
      </c>
      <c r="BB43" s="42">
        <f t="shared" si="35"/>
        <v>46.917750000000005</v>
      </c>
      <c r="BC43" s="42">
        <f t="shared" si="36"/>
        <v>985.27274999999997</v>
      </c>
      <c r="BD43" s="67">
        <v>0.35</v>
      </c>
      <c r="BE43" s="42">
        <f t="shared" si="37"/>
        <v>199.04500000000002</v>
      </c>
      <c r="BF43" s="42">
        <f t="shared" si="38"/>
        <v>767.74500000000012</v>
      </c>
      <c r="BG43" s="39">
        <v>0.05</v>
      </c>
      <c r="BH43" s="42">
        <f t="shared" si="39"/>
        <v>38.387250000000009</v>
      </c>
      <c r="BI43" s="42">
        <f t="shared" si="40"/>
        <v>806.13225000000011</v>
      </c>
      <c r="BN43" s="25">
        <f t="shared" si="51"/>
        <v>23.5</v>
      </c>
      <c r="BO43" s="19">
        <f t="shared" si="50"/>
        <v>493.5</v>
      </c>
      <c r="BP43" s="12">
        <f t="shared" si="43"/>
        <v>987</v>
      </c>
    </row>
    <row r="44" spans="2:68" x14ac:dyDescent="0.25">
      <c r="B44" s="13">
        <f>B43+1</f>
        <v>32</v>
      </c>
      <c r="C44" s="36" t="s">
        <v>45</v>
      </c>
      <c r="D44" s="27">
        <v>1</v>
      </c>
      <c r="E44" s="28">
        <v>1</v>
      </c>
      <c r="F44" s="26">
        <f>+D44+E44</f>
        <v>2</v>
      </c>
      <c r="G44" s="25">
        <v>470</v>
      </c>
      <c r="H44" s="41">
        <v>0.21</v>
      </c>
      <c r="I44" s="42">
        <f t="shared" si="5"/>
        <v>98.7</v>
      </c>
      <c r="J44" s="43">
        <f t="shared" si="6"/>
        <v>568.70000000000005</v>
      </c>
      <c r="K44" s="41">
        <v>0.05</v>
      </c>
      <c r="L44" s="42">
        <f t="shared" si="7"/>
        <v>28.435000000000002</v>
      </c>
      <c r="M44" s="45">
        <f t="shared" si="8"/>
        <v>597.13499999999999</v>
      </c>
      <c r="N44" s="39">
        <v>0.85</v>
      </c>
      <c r="O44" s="42">
        <f t="shared" si="9"/>
        <v>483.39500000000004</v>
      </c>
      <c r="P44" s="42">
        <f t="shared" si="10"/>
        <v>1052.095</v>
      </c>
      <c r="Q44" s="39">
        <v>0.05</v>
      </c>
      <c r="R44" s="42">
        <f t="shared" si="11"/>
        <v>52.604750000000003</v>
      </c>
      <c r="S44" s="43">
        <f t="shared" si="12"/>
        <v>1104.69975</v>
      </c>
      <c r="T44" s="39">
        <v>0.84</v>
      </c>
      <c r="U44" s="42">
        <f t="shared" si="13"/>
        <v>406.05180000000001</v>
      </c>
      <c r="V44" s="42">
        <f t="shared" si="14"/>
        <v>974.7518</v>
      </c>
      <c r="W44" s="39">
        <v>0.05</v>
      </c>
      <c r="X44" s="42">
        <f t="shared" si="15"/>
        <v>48.737590000000004</v>
      </c>
      <c r="Y44" s="42">
        <f t="shared" si="16"/>
        <v>1023.48939</v>
      </c>
      <c r="Z44" s="39">
        <v>0.83</v>
      </c>
      <c r="AA44" s="42">
        <f t="shared" si="17"/>
        <v>472.02100000000002</v>
      </c>
      <c r="AB44" s="42">
        <f t="shared" si="18"/>
        <v>1040.721</v>
      </c>
      <c r="AC44" s="39">
        <v>0.05</v>
      </c>
      <c r="AD44" s="42">
        <f t="shared" si="19"/>
        <v>52.036050000000003</v>
      </c>
      <c r="AE44" s="42">
        <f t="shared" si="20"/>
        <v>1092.7570499999999</v>
      </c>
      <c r="AF44" s="39">
        <v>0.82</v>
      </c>
      <c r="AG44" s="42">
        <f t="shared" si="21"/>
        <v>466.334</v>
      </c>
      <c r="AH44" s="42">
        <f t="shared" si="22"/>
        <v>1035.0340000000001</v>
      </c>
      <c r="AI44" s="39">
        <v>0.05</v>
      </c>
      <c r="AJ44" s="42">
        <f t="shared" si="23"/>
        <v>51.751700000000007</v>
      </c>
      <c r="AK44" s="42">
        <f t="shared" si="24"/>
        <v>1086.7857000000001</v>
      </c>
      <c r="AL44" s="39">
        <v>0.76</v>
      </c>
      <c r="AM44" s="42">
        <f t="shared" si="25"/>
        <v>432.21200000000005</v>
      </c>
      <c r="AN44" s="42">
        <f t="shared" si="26"/>
        <v>1000.912</v>
      </c>
      <c r="AO44" s="39">
        <v>0.05</v>
      </c>
      <c r="AP44" s="42">
        <f t="shared" si="27"/>
        <v>50.045600000000007</v>
      </c>
      <c r="AQ44" s="42">
        <f t="shared" si="28"/>
        <v>1050.9576</v>
      </c>
      <c r="AR44" s="39">
        <v>0.7</v>
      </c>
      <c r="AS44" s="42">
        <f t="shared" si="29"/>
        <v>398.09000000000003</v>
      </c>
      <c r="AT44" s="42">
        <f t="shared" si="30"/>
        <v>966.79000000000008</v>
      </c>
      <c r="AU44" s="39">
        <v>0.05</v>
      </c>
      <c r="AV44" s="42">
        <f t="shared" si="31"/>
        <v>48.339500000000008</v>
      </c>
      <c r="AW44" s="42">
        <f t="shared" si="32"/>
        <v>1015.1295000000001</v>
      </c>
      <c r="AX44" s="39">
        <v>0.65</v>
      </c>
      <c r="AY44" s="42">
        <f t="shared" si="33"/>
        <v>369.65500000000003</v>
      </c>
      <c r="AZ44" s="42">
        <f t="shared" si="34"/>
        <v>938.35500000000002</v>
      </c>
      <c r="BA44" s="39">
        <v>0.05</v>
      </c>
      <c r="BB44" s="42">
        <f t="shared" si="35"/>
        <v>46.917750000000005</v>
      </c>
      <c r="BC44" s="42">
        <f t="shared" si="36"/>
        <v>985.27274999999997</v>
      </c>
      <c r="BD44" s="67">
        <v>0.35</v>
      </c>
      <c r="BE44" s="42">
        <f t="shared" si="37"/>
        <v>199.04500000000002</v>
      </c>
      <c r="BF44" s="42">
        <f t="shared" si="38"/>
        <v>767.74500000000012</v>
      </c>
      <c r="BG44" s="39">
        <v>0.05</v>
      </c>
      <c r="BH44" s="42">
        <f t="shared" si="39"/>
        <v>38.387250000000009</v>
      </c>
      <c r="BI44" s="42">
        <f t="shared" si="40"/>
        <v>806.13225000000011</v>
      </c>
      <c r="BN44" s="25">
        <f t="shared" si="51"/>
        <v>23.5</v>
      </c>
      <c r="BO44" s="19">
        <f t="shared" si="50"/>
        <v>493.5</v>
      </c>
      <c r="BP44" s="12">
        <f t="shared" si="43"/>
        <v>987</v>
      </c>
    </row>
    <row r="45" spans="2:68" x14ac:dyDescent="0.25">
      <c r="B45" s="13">
        <f t="shared" ref="B45:B48" si="52">B44+1</f>
        <v>33</v>
      </c>
      <c r="C45" s="36" t="s">
        <v>46</v>
      </c>
      <c r="D45" s="27">
        <v>1</v>
      </c>
      <c r="E45" s="28">
        <v>1</v>
      </c>
      <c r="F45" s="26">
        <f>+D45+E45</f>
        <v>2</v>
      </c>
      <c r="G45" s="25">
        <v>470</v>
      </c>
      <c r="H45" s="41">
        <v>0.21</v>
      </c>
      <c r="I45" s="42">
        <f t="shared" si="5"/>
        <v>98.7</v>
      </c>
      <c r="J45" s="43">
        <f t="shared" si="6"/>
        <v>568.70000000000005</v>
      </c>
      <c r="K45" s="41">
        <v>0.05</v>
      </c>
      <c r="L45" s="42">
        <f t="shared" si="7"/>
        <v>28.435000000000002</v>
      </c>
      <c r="M45" s="45">
        <f t="shared" si="8"/>
        <v>597.13499999999999</v>
      </c>
      <c r="N45" s="39">
        <v>0.85</v>
      </c>
      <c r="O45" s="42">
        <f t="shared" si="9"/>
        <v>483.39500000000004</v>
      </c>
      <c r="P45" s="42">
        <f t="shared" si="10"/>
        <v>1052.095</v>
      </c>
      <c r="Q45" s="39">
        <v>0.05</v>
      </c>
      <c r="R45" s="42">
        <f t="shared" si="11"/>
        <v>52.604750000000003</v>
      </c>
      <c r="S45" s="43">
        <f t="shared" si="12"/>
        <v>1104.69975</v>
      </c>
      <c r="T45" s="39">
        <v>0.84</v>
      </c>
      <c r="U45" s="42">
        <f t="shared" si="13"/>
        <v>406.05180000000001</v>
      </c>
      <c r="V45" s="42">
        <f t="shared" si="14"/>
        <v>974.7518</v>
      </c>
      <c r="W45" s="39">
        <v>0.05</v>
      </c>
      <c r="X45" s="42">
        <f t="shared" si="15"/>
        <v>48.737590000000004</v>
      </c>
      <c r="Y45" s="42">
        <f t="shared" si="16"/>
        <v>1023.48939</v>
      </c>
      <c r="Z45" s="39">
        <v>0.83</v>
      </c>
      <c r="AA45" s="42">
        <f t="shared" si="17"/>
        <v>472.02100000000002</v>
      </c>
      <c r="AB45" s="42">
        <f t="shared" si="18"/>
        <v>1040.721</v>
      </c>
      <c r="AC45" s="39">
        <v>0.05</v>
      </c>
      <c r="AD45" s="42">
        <f t="shared" si="19"/>
        <v>52.036050000000003</v>
      </c>
      <c r="AE45" s="42">
        <f t="shared" si="20"/>
        <v>1092.7570499999999</v>
      </c>
      <c r="AF45" s="39">
        <v>0.82</v>
      </c>
      <c r="AG45" s="42">
        <f t="shared" si="21"/>
        <v>466.334</v>
      </c>
      <c r="AH45" s="42">
        <f t="shared" si="22"/>
        <v>1035.0340000000001</v>
      </c>
      <c r="AI45" s="39">
        <v>0.05</v>
      </c>
      <c r="AJ45" s="42">
        <f t="shared" si="23"/>
        <v>51.751700000000007</v>
      </c>
      <c r="AK45" s="42">
        <f t="shared" si="24"/>
        <v>1086.7857000000001</v>
      </c>
      <c r="AL45" s="39">
        <v>0.76</v>
      </c>
      <c r="AM45" s="42">
        <f t="shared" si="25"/>
        <v>432.21200000000005</v>
      </c>
      <c r="AN45" s="42">
        <f t="shared" si="26"/>
        <v>1000.912</v>
      </c>
      <c r="AO45" s="39">
        <v>0.05</v>
      </c>
      <c r="AP45" s="42">
        <f t="shared" si="27"/>
        <v>50.045600000000007</v>
      </c>
      <c r="AQ45" s="42">
        <f t="shared" si="28"/>
        <v>1050.9576</v>
      </c>
      <c r="AR45" s="39">
        <v>0.7</v>
      </c>
      <c r="AS45" s="42">
        <f t="shared" si="29"/>
        <v>398.09000000000003</v>
      </c>
      <c r="AT45" s="42">
        <f t="shared" si="30"/>
        <v>966.79000000000008</v>
      </c>
      <c r="AU45" s="39">
        <v>0.05</v>
      </c>
      <c r="AV45" s="42">
        <f t="shared" si="31"/>
        <v>48.339500000000008</v>
      </c>
      <c r="AW45" s="42">
        <f t="shared" si="32"/>
        <v>1015.1295000000001</v>
      </c>
      <c r="AX45" s="39">
        <v>0.65</v>
      </c>
      <c r="AY45" s="42">
        <f t="shared" si="33"/>
        <v>369.65500000000003</v>
      </c>
      <c r="AZ45" s="42">
        <f t="shared" si="34"/>
        <v>938.35500000000002</v>
      </c>
      <c r="BA45" s="39">
        <v>0.05</v>
      </c>
      <c r="BB45" s="42">
        <f t="shared" si="35"/>
        <v>46.917750000000005</v>
      </c>
      <c r="BC45" s="42">
        <f t="shared" si="36"/>
        <v>985.27274999999997</v>
      </c>
      <c r="BD45" s="67">
        <v>0.35</v>
      </c>
      <c r="BE45" s="42">
        <f t="shared" si="37"/>
        <v>199.04500000000002</v>
      </c>
      <c r="BF45" s="42">
        <f t="shared" si="38"/>
        <v>767.74500000000012</v>
      </c>
      <c r="BG45" s="39">
        <v>0.05</v>
      </c>
      <c r="BH45" s="42">
        <f t="shared" si="39"/>
        <v>38.387250000000009</v>
      </c>
      <c r="BI45" s="42">
        <f t="shared" si="40"/>
        <v>806.13225000000011</v>
      </c>
      <c r="BN45" s="25">
        <f t="shared" si="51"/>
        <v>23.5</v>
      </c>
      <c r="BO45" s="19">
        <f t="shared" si="50"/>
        <v>493.5</v>
      </c>
      <c r="BP45" s="12">
        <f t="shared" si="43"/>
        <v>987</v>
      </c>
    </row>
    <row r="46" spans="2:68" x14ac:dyDescent="0.25">
      <c r="B46" s="13">
        <f t="shared" si="52"/>
        <v>34</v>
      </c>
      <c r="C46" s="36" t="s">
        <v>47</v>
      </c>
      <c r="D46" s="27">
        <v>1</v>
      </c>
      <c r="E46" s="28">
        <v>1</v>
      </c>
      <c r="F46" s="26">
        <f>+D46+E46</f>
        <v>2</v>
      </c>
      <c r="G46" s="25">
        <v>470</v>
      </c>
      <c r="H46" s="41">
        <v>0.21</v>
      </c>
      <c r="I46" s="42">
        <f t="shared" si="5"/>
        <v>98.7</v>
      </c>
      <c r="J46" s="43">
        <f t="shared" si="6"/>
        <v>568.70000000000005</v>
      </c>
      <c r="K46" s="41">
        <v>0.05</v>
      </c>
      <c r="L46" s="42">
        <f t="shared" si="7"/>
        <v>28.435000000000002</v>
      </c>
      <c r="M46" s="45">
        <f t="shared" si="8"/>
        <v>597.13499999999999</v>
      </c>
      <c r="N46" s="39">
        <v>0.85</v>
      </c>
      <c r="O46" s="42">
        <f t="shared" si="9"/>
        <v>483.39500000000004</v>
      </c>
      <c r="P46" s="42">
        <f t="shared" si="10"/>
        <v>1052.095</v>
      </c>
      <c r="Q46" s="39">
        <v>0.05</v>
      </c>
      <c r="R46" s="42">
        <f t="shared" si="11"/>
        <v>52.604750000000003</v>
      </c>
      <c r="S46" s="43">
        <f t="shared" si="12"/>
        <v>1104.69975</v>
      </c>
      <c r="T46" s="39">
        <v>0.84</v>
      </c>
      <c r="U46" s="42">
        <f t="shared" si="13"/>
        <v>406.05180000000001</v>
      </c>
      <c r="V46" s="42">
        <f t="shared" si="14"/>
        <v>974.7518</v>
      </c>
      <c r="W46" s="39">
        <v>0.05</v>
      </c>
      <c r="X46" s="42">
        <f t="shared" si="15"/>
        <v>48.737590000000004</v>
      </c>
      <c r="Y46" s="42">
        <f t="shared" si="16"/>
        <v>1023.48939</v>
      </c>
      <c r="Z46" s="39">
        <v>0.83</v>
      </c>
      <c r="AA46" s="42">
        <f t="shared" si="17"/>
        <v>472.02100000000002</v>
      </c>
      <c r="AB46" s="42">
        <f t="shared" si="18"/>
        <v>1040.721</v>
      </c>
      <c r="AC46" s="39">
        <v>0.05</v>
      </c>
      <c r="AD46" s="42">
        <f t="shared" si="19"/>
        <v>52.036050000000003</v>
      </c>
      <c r="AE46" s="42">
        <f t="shared" si="20"/>
        <v>1092.7570499999999</v>
      </c>
      <c r="AF46" s="39">
        <v>0.82</v>
      </c>
      <c r="AG46" s="42">
        <f t="shared" si="21"/>
        <v>466.334</v>
      </c>
      <c r="AH46" s="42">
        <f t="shared" si="22"/>
        <v>1035.0340000000001</v>
      </c>
      <c r="AI46" s="39">
        <v>0.05</v>
      </c>
      <c r="AJ46" s="42">
        <f t="shared" si="23"/>
        <v>51.751700000000007</v>
      </c>
      <c r="AK46" s="42">
        <f t="shared" si="24"/>
        <v>1086.7857000000001</v>
      </c>
      <c r="AL46" s="39">
        <v>0.76</v>
      </c>
      <c r="AM46" s="42">
        <f t="shared" si="25"/>
        <v>432.21200000000005</v>
      </c>
      <c r="AN46" s="42">
        <f t="shared" si="26"/>
        <v>1000.912</v>
      </c>
      <c r="AO46" s="39">
        <v>0.05</v>
      </c>
      <c r="AP46" s="42">
        <f t="shared" si="27"/>
        <v>50.045600000000007</v>
      </c>
      <c r="AQ46" s="42">
        <f t="shared" si="28"/>
        <v>1050.9576</v>
      </c>
      <c r="AR46" s="39">
        <v>0.7</v>
      </c>
      <c r="AS46" s="42">
        <f t="shared" si="29"/>
        <v>398.09000000000003</v>
      </c>
      <c r="AT46" s="42">
        <f t="shared" si="30"/>
        <v>966.79000000000008</v>
      </c>
      <c r="AU46" s="39">
        <v>0.05</v>
      </c>
      <c r="AV46" s="42">
        <f t="shared" si="31"/>
        <v>48.339500000000008</v>
      </c>
      <c r="AW46" s="42">
        <f t="shared" si="32"/>
        <v>1015.1295000000001</v>
      </c>
      <c r="AX46" s="39">
        <v>0.65</v>
      </c>
      <c r="AY46" s="42">
        <f t="shared" si="33"/>
        <v>369.65500000000003</v>
      </c>
      <c r="AZ46" s="42">
        <f t="shared" si="34"/>
        <v>938.35500000000002</v>
      </c>
      <c r="BA46" s="39">
        <v>0.05</v>
      </c>
      <c r="BB46" s="42">
        <f t="shared" si="35"/>
        <v>46.917750000000005</v>
      </c>
      <c r="BC46" s="42">
        <f t="shared" si="36"/>
        <v>985.27274999999997</v>
      </c>
      <c r="BD46" s="67">
        <v>0.35</v>
      </c>
      <c r="BE46" s="42">
        <f t="shared" si="37"/>
        <v>199.04500000000002</v>
      </c>
      <c r="BF46" s="42">
        <f t="shared" si="38"/>
        <v>767.74500000000012</v>
      </c>
      <c r="BG46" s="39">
        <v>0.05</v>
      </c>
      <c r="BH46" s="42">
        <f t="shared" si="39"/>
        <v>38.387250000000009</v>
      </c>
      <c r="BI46" s="42">
        <f t="shared" si="40"/>
        <v>806.13225000000011</v>
      </c>
      <c r="BN46" s="25">
        <f t="shared" si="51"/>
        <v>23.5</v>
      </c>
      <c r="BO46" s="19">
        <f t="shared" si="50"/>
        <v>493.5</v>
      </c>
      <c r="BP46" s="12">
        <f t="shared" si="43"/>
        <v>987</v>
      </c>
    </row>
    <row r="47" spans="2:68" x14ac:dyDescent="0.25">
      <c r="B47" s="13">
        <f t="shared" si="52"/>
        <v>35</v>
      </c>
      <c r="C47" s="36" t="s">
        <v>48</v>
      </c>
      <c r="D47" s="27">
        <v>1</v>
      </c>
      <c r="E47" s="28">
        <v>1</v>
      </c>
      <c r="F47" s="26">
        <f>+D47+E47</f>
        <v>2</v>
      </c>
      <c r="G47" s="25">
        <v>470</v>
      </c>
      <c r="H47" s="41">
        <v>0.21</v>
      </c>
      <c r="I47" s="42">
        <f t="shared" si="5"/>
        <v>98.7</v>
      </c>
      <c r="J47" s="43">
        <f t="shared" si="6"/>
        <v>568.70000000000005</v>
      </c>
      <c r="K47" s="41">
        <v>0.05</v>
      </c>
      <c r="L47" s="42">
        <f t="shared" si="7"/>
        <v>28.435000000000002</v>
      </c>
      <c r="M47" s="45">
        <f t="shared" si="8"/>
        <v>597.13499999999999</v>
      </c>
      <c r="N47" s="39">
        <v>0.85</v>
      </c>
      <c r="O47" s="42">
        <f t="shared" si="9"/>
        <v>483.39500000000004</v>
      </c>
      <c r="P47" s="42">
        <f t="shared" si="10"/>
        <v>1052.095</v>
      </c>
      <c r="Q47" s="39">
        <v>0.05</v>
      </c>
      <c r="R47" s="42">
        <f t="shared" si="11"/>
        <v>52.604750000000003</v>
      </c>
      <c r="S47" s="43">
        <f t="shared" si="12"/>
        <v>1104.69975</v>
      </c>
      <c r="T47" s="39">
        <v>0.84</v>
      </c>
      <c r="U47" s="42">
        <f t="shared" si="13"/>
        <v>406.05180000000001</v>
      </c>
      <c r="V47" s="42">
        <f t="shared" si="14"/>
        <v>974.7518</v>
      </c>
      <c r="W47" s="39">
        <v>0.05</v>
      </c>
      <c r="X47" s="42">
        <f t="shared" si="15"/>
        <v>48.737590000000004</v>
      </c>
      <c r="Y47" s="42">
        <f t="shared" si="16"/>
        <v>1023.48939</v>
      </c>
      <c r="Z47" s="39">
        <v>0.83</v>
      </c>
      <c r="AA47" s="42">
        <f t="shared" si="17"/>
        <v>472.02100000000002</v>
      </c>
      <c r="AB47" s="42">
        <f t="shared" si="18"/>
        <v>1040.721</v>
      </c>
      <c r="AC47" s="39">
        <v>0.05</v>
      </c>
      <c r="AD47" s="42">
        <f t="shared" si="19"/>
        <v>52.036050000000003</v>
      </c>
      <c r="AE47" s="42">
        <f t="shared" si="20"/>
        <v>1092.7570499999999</v>
      </c>
      <c r="AF47" s="39">
        <v>0.82</v>
      </c>
      <c r="AG47" s="42">
        <f t="shared" si="21"/>
        <v>466.334</v>
      </c>
      <c r="AH47" s="42">
        <f t="shared" si="22"/>
        <v>1035.0340000000001</v>
      </c>
      <c r="AI47" s="39">
        <v>0.05</v>
      </c>
      <c r="AJ47" s="42">
        <f t="shared" si="23"/>
        <v>51.751700000000007</v>
      </c>
      <c r="AK47" s="42">
        <f t="shared" si="24"/>
        <v>1086.7857000000001</v>
      </c>
      <c r="AL47" s="39">
        <v>0.76</v>
      </c>
      <c r="AM47" s="42">
        <f t="shared" si="25"/>
        <v>432.21200000000005</v>
      </c>
      <c r="AN47" s="42">
        <f t="shared" si="26"/>
        <v>1000.912</v>
      </c>
      <c r="AO47" s="39">
        <v>0.05</v>
      </c>
      <c r="AP47" s="42">
        <f t="shared" si="27"/>
        <v>50.045600000000007</v>
      </c>
      <c r="AQ47" s="42">
        <f t="shared" si="28"/>
        <v>1050.9576</v>
      </c>
      <c r="AR47" s="39">
        <v>0.7</v>
      </c>
      <c r="AS47" s="42">
        <f t="shared" si="29"/>
        <v>398.09000000000003</v>
      </c>
      <c r="AT47" s="42">
        <f t="shared" si="30"/>
        <v>966.79000000000008</v>
      </c>
      <c r="AU47" s="39">
        <v>0.05</v>
      </c>
      <c r="AV47" s="42">
        <f t="shared" si="31"/>
        <v>48.339500000000008</v>
      </c>
      <c r="AW47" s="42">
        <f t="shared" si="32"/>
        <v>1015.1295000000001</v>
      </c>
      <c r="AX47" s="39">
        <v>0.65</v>
      </c>
      <c r="AY47" s="42">
        <f t="shared" si="33"/>
        <v>369.65500000000003</v>
      </c>
      <c r="AZ47" s="42">
        <f t="shared" si="34"/>
        <v>938.35500000000002</v>
      </c>
      <c r="BA47" s="39">
        <v>0.05</v>
      </c>
      <c r="BB47" s="42">
        <f t="shared" si="35"/>
        <v>46.917750000000005</v>
      </c>
      <c r="BC47" s="42">
        <f t="shared" si="36"/>
        <v>985.27274999999997</v>
      </c>
      <c r="BD47" s="67">
        <v>0.35</v>
      </c>
      <c r="BE47" s="42">
        <f t="shared" si="37"/>
        <v>199.04500000000002</v>
      </c>
      <c r="BF47" s="42">
        <f t="shared" si="38"/>
        <v>767.74500000000012</v>
      </c>
      <c r="BG47" s="39">
        <v>0.05</v>
      </c>
      <c r="BH47" s="42">
        <f t="shared" si="39"/>
        <v>38.387250000000009</v>
      </c>
      <c r="BI47" s="42">
        <f t="shared" si="40"/>
        <v>806.13225000000011</v>
      </c>
      <c r="BN47" s="25">
        <f t="shared" si="51"/>
        <v>23.5</v>
      </c>
      <c r="BO47" s="19">
        <f t="shared" si="50"/>
        <v>493.5</v>
      </c>
      <c r="BP47" s="12">
        <f t="shared" si="43"/>
        <v>987</v>
      </c>
    </row>
    <row r="48" spans="2:68" x14ac:dyDescent="0.25">
      <c r="B48" s="13">
        <f t="shared" si="52"/>
        <v>36</v>
      </c>
      <c r="C48" s="36" t="s">
        <v>49</v>
      </c>
      <c r="D48" s="27">
        <v>1</v>
      </c>
      <c r="E48" s="28">
        <v>1</v>
      </c>
      <c r="F48" s="26">
        <f>+D48+E48</f>
        <v>2</v>
      </c>
      <c r="G48" s="25">
        <v>470</v>
      </c>
      <c r="H48" s="41">
        <v>0.21</v>
      </c>
      <c r="I48" s="42">
        <f t="shared" si="5"/>
        <v>98.7</v>
      </c>
      <c r="J48" s="43">
        <f t="shared" si="6"/>
        <v>568.70000000000005</v>
      </c>
      <c r="K48" s="41">
        <v>0.05</v>
      </c>
      <c r="L48" s="42">
        <f t="shared" si="7"/>
        <v>28.435000000000002</v>
      </c>
      <c r="M48" s="45">
        <f t="shared" si="8"/>
        <v>597.13499999999999</v>
      </c>
      <c r="N48" s="39">
        <v>0.85</v>
      </c>
      <c r="O48" s="42">
        <f t="shared" si="9"/>
        <v>483.39500000000004</v>
      </c>
      <c r="P48" s="42">
        <f t="shared" si="10"/>
        <v>1052.095</v>
      </c>
      <c r="Q48" s="39">
        <v>0.05</v>
      </c>
      <c r="R48" s="42">
        <f t="shared" si="11"/>
        <v>52.604750000000003</v>
      </c>
      <c r="S48" s="43">
        <f t="shared" si="12"/>
        <v>1104.69975</v>
      </c>
      <c r="T48" s="39">
        <v>0.84</v>
      </c>
      <c r="U48" s="42">
        <f t="shared" si="13"/>
        <v>406.05180000000001</v>
      </c>
      <c r="V48" s="42">
        <f t="shared" si="14"/>
        <v>974.7518</v>
      </c>
      <c r="W48" s="39">
        <v>0.05</v>
      </c>
      <c r="X48" s="42">
        <f t="shared" si="15"/>
        <v>48.737590000000004</v>
      </c>
      <c r="Y48" s="42">
        <f t="shared" si="16"/>
        <v>1023.48939</v>
      </c>
      <c r="Z48" s="39">
        <v>0.83</v>
      </c>
      <c r="AA48" s="42">
        <f t="shared" si="17"/>
        <v>472.02100000000002</v>
      </c>
      <c r="AB48" s="42">
        <f t="shared" si="18"/>
        <v>1040.721</v>
      </c>
      <c r="AC48" s="39">
        <v>0.05</v>
      </c>
      <c r="AD48" s="42">
        <f t="shared" si="19"/>
        <v>52.036050000000003</v>
      </c>
      <c r="AE48" s="42">
        <f t="shared" si="20"/>
        <v>1092.7570499999999</v>
      </c>
      <c r="AF48" s="39">
        <v>0.82</v>
      </c>
      <c r="AG48" s="42">
        <f t="shared" si="21"/>
        <v>466.334</v>
      </c>
      <c r="AH48" s="42">
        <f t="shared" si="22"/>
        <v>1035.0340000000001</v>
      </c>
      <c r="AI48" s="39">
        <v>0.05</v>
      </c>
      <c r="AJ48" s="42">
        <f t="shared" si="23"/>
        <v>51.751700000000007</v>
      </c>
      <c r="AK48" s="42">
        <f t="shared" si="24"/>
        <v>1086.7857000000001</v>
      </c>
      <c r="AL48" s="39">
        <v>0.76</v>
      </c>
      <c r="AM48" s="42">
        <f t="shared" si="25"/>
        <v>432.21200000000005</v>
      </c>
      <c r="AN48" s="42">
        <f t="shared" si="26"/>
        <v>1000.912</v>
      </c>
      <c r="AO48" s="39">
        <v>0.05</v>
      </c>
      <c r="AP48" s="42">
        <f t="shared" si="27"/>
        <v>50.045600000000007</v>
      </c>
      <c r="AQ48" s="42">
        <f t="shared" si="28"/>
        <v>1050.9576</v>
      </c>
      <c r="AR48" s="39">
        <v>0.7</v>
      </c>
      <c r="AS48" s="42">
        <f t="shared" si="29"/>
        <v>398.09000000000003</v>
      </c>
      <c r="AT48" s="42">
        <f t="shared" si="30"/>
        <v>966.79000000000008</v>
      </c>
      <c r="AU48" s="39">
        <v>0.05</v>
      </c>
      <c r="AV48" s="42">
        <f t="shared" si="31"/>
        <v>48.339500000000008</v>
      </c>
      <c r="AW48" s="42">
        <f t="shared" si="32"/>
        <v>1015.1295000000001</v>
      </c>
      <c r="AX48" s="39">
        <v>0.65</v>
      </c>
      <c r="AY48" s="42">
        <f t="shared" si="33"/>
        <v>369.65500000000003</v>
      </c>
      <c r="AZ48" s="42">
        <f t="shared" si="34"/>
        <v>938.35500000000002</v>
      </c>
      <c r="BA48" s="39">
        <v>0.05</v>
      </c>
      <c r="BB48" s="42">
        <f t="shared" si="35"/>
        <v>46.917750000000005</v>
      </c>
      <c r="BC48" s="42">
        <f t="shared" si="36"/>
        <v>985.27274999999997</v>
      </c>
      <c r="BD48" s="67">
        <v>0.35</v>
      </c>
      <c r="BE48" s="42">
        <f t="shared" si="37"/>
        <v>199.04500000000002</v>
      </c>
      <c r="BF48" s="42">
        <f t="shared" si="38"/>
        <v>767.74500000000012</v>
      </c>
      <c r="BG48" s="39">
        <v>0.05</v>
      </c>
      <c r="BH48" s="42">
        <f t="shared" si="39"/>
        <v>38.387250000000009</v>
      </c>
      <c r="BI48" s="42">
        <f t="shared" si="40"/>
        <v>806.13225000000011</v>
      </c>
      <c r="BN48" s="25">
        <f t="shared" si="51"/>
        <v>23.5</v>
      </c>
      <c r="BO48" s="19">
        <f t="shared" si="50"/>
        <v>493.5</v>
      </c>
      <c r="BP48" s="12">
        <f t="shared" si="43"/>
        <v>987</v>
      </c>
    </row>
    <row r="49" spans="2:68" ht="15.75" x14ac:dyDescent="0.25">
      <c r="B49" s="13"/>
      <c r="C49" s="36" t="s">
        <v>50</v>
      </c>
      <c r="D49" s="27"/>
      <c r="E49" s="28"/>
      <c r="F49" s="26"/>
      <c r="G49" s="25"/>
      <c r="H49" s="41">
        <v>0.21</v>
      </c>
      <c r="I49" s="42">
        <f t="shared" si="5"/>
        <v>0</v>
      </c>
      <c r="J49" s="43">
        <f t="shared" si="6"/>
        <v>0</v>
      </c>
      <c r="K49" s="41">
        <v>0.05</v>
      </c>
      <c r="L49" s="42">
        <f t="shared" si="7"/>
        <v>0</v>
      </c>
      <c r="M49" s="45">
        <f t="shared" si="8"/>
        <v>0</v>
      </c>
      <c r="N49" s="39">
        <v>0.85</v>
      </c>
      <c r="O49" s="42">
        <f t="shared" si="9"/>
        <v>0</v>
      </c>
      <c r="P49" s="42">
        <f t="shared" si="10"/>
        <v>0</v>
      </c>
      <c r="Q49" s="39">
        <v>0.05</v>
      </c>
      <c r="R49" s="42">
        <f t="shared" si="11"/>
        <v>0</v>
      </c>
      <c r="S49" s="43">
        <f t="shared" si="12"/>
        <v>0</v>
      </c>
      <c r="T49" s="39">
        <v>0.84</v>
      </c>
      <c r="U49" s="42">
        <f t="shared" si="13"/>
        <v>0</v>
      </c>
      <c r="V49" s="42">
        <f t="shared" si="14"/>
        <v>0</v>
      </c>
      <c r="W49" s="39">
        <v>0.05</v>
      </c>
      <c r="X49" s="42">
        <f t="shared" si="15"/>
        <v>0</v>
      </c>
      <c r="Y49" s="42">
        <f t="shared" si="16"/>
        <v>0</v>
      </c>
      <c r="Z49" s="39">
        <v>0.83</v>
      </c>
      <c r="AA49" s="42">
        <f t="shared" si="17"/>
        <v>0</v>
      </c>
      <c r="AB49" s="42">
        <f t="shared" si="18"/>
        <v>0</v>
      </c>
      <c r="AC49" s="39">
        <v>0.05</v>
      </c>
      <c r="AD49" s="42">
        <f t="shared" si="19"/>
        <v>0</v>
      </c>
      <c r="AE49" s="42">
        <f t="shared" si="20"/>
        <v>0</v>
      </c>
      <c r="AF49" s="39">
        <v>0.82</v>
      </c>
      <c r="AG49" s="42">
        <f t="shared" si="21"/>
        <v>0</v>
      </c>
      <c r="AH49" s="42">
        <f t="shared" si="22"/>
        <v>0</v>
      </c>
      <c r="AI49" s="39">
        <v>0.05</v>
      </c>
      <c r="AJ49" s="42">
        <f t="shared" si="23"/>
        <v>0</v>
      </c>
      <c r="AK49" s="42">
        <f t="shared" si="24"/>
        <v>0</v>
      </c>
      <c r="AL49" s="39">
        <v>0.76</v>
      </c>
      <c r="AM49" s="42">
        <f t="shared" si="25"/>
        <v>0</v>
      </c>
      <c r="AN49" s="42">
        <f t="shared" si="26"/>
        <v>0</v>
      </c>
      <c r="AO49" s="39">
        <v>0.05</v>
      </c>
      <c r="AP49" s="42">
        <f t="shared" si="27"/>
        <v>0</v>
      </c>
      <c r="AQ49" s="42">
        <f t="shared" si="28"/>
        <v>0</v>
      </c>
      <c r="AR49" s="39">
        <v>0.7</v>
      </c>
      <c r="AS49" s="42">
        <f t="shared" si="29"/>
        <v>0</v>
      </c>
      <c r="AT49" s="42">
        <f t="shared" si="30"/>
        <v>0</v>
      </c>
      <c r="AU49" s="39">
        <v>0.05</v>
      </c>
      <c r="AV49" s="42">
        <f t="shared" si="31"/>
        <v>0</v>
      </c>
      <c r="AW49" s="42">
        <f t="shared" si="32"/>
        <v>0</v>
      </c>
      <c r="AX49" s="39">
        <v>0.65</v>
      </c>
      <c r="AY49" s="42">
        <f t="shared" si="33"/>
        <v>0</v>
      </c>
      <c r="AZ49" s="42">
        <f t="shared" si="34"/>
        <v>0</v>
      </c>
      <c r="BA49" s="39">
        <v>0.05</v>
      </c>
      <c r="BB49" s="42">
        <f t="shared" si="35"/>
        <v>0</v>
      </c>
      <c r="BC49" s="42">
        <f t="shared" si="36"/>
        <v>0</v>
      </c>
      <c r="BD49" s="67">
        <v>0.35</v>
      </c>
      <c r="BE49" s="42">
        <f t="shared" si="37"/>
        <v>0</v>
      </c>
      <c r="BF49" s="42">
        <f t="shared" si="38"/>
        <v>0</v>
      </c>
      <c r="BG49" s="39">
        <v>0.05</v>
      </c>
      <c r="BH49" s="42">
        <f t="shared" si="39"/>
        <v>0</v>
      </c>
      <c r="BI49" s="42">
        <f t="shared" si="40"/>
        <v>0</v>
      </c>
      <c r="BN49" s="25">
        <f t="shared" si="51"/>
        <v>0</v>
      </c>
      <c r="BO49" s="19">
        <f t="shared" si="50"/>
        <v>0</v>
      </c>
      <c r="BP49" s="12">
        <f t="shared" si="43"/>
        <v>0</v>
      </c>
    </row>
    <row r="50" spans="2:68" x14ac:dyDescent="0.25">
      <c r="B50" s="13">
        <f>B48+1</f>
        <v>37</v>
      </c>
      <c r="C50" s="36" t="s">
        <v>51</v>
      </c>
      <c r="D50" s="27">
        <v>1</v>
      </c>
      <c r="E50" s="28">
        <v>1</v>
      </c>
      <c r="F50" s="26">
        <f>+D50+E50</f>
        <v>2</v>
      </c>
      <c r="G50" s="25">
        <v>470</v>
      </c>
      <c r="H50" s="41">
        <v>0.21</v>
      </c>
      <c r="I50" s="42">
        <f t="shared" si="5"/>
        <v>98.7</v>
      </c>
      <c r="J50" s="43">
        <f t="shared" si="6"/>
        <v>568.70000000000005</v>
      </c>
      <c r="K50" s="41">
        <v>0.05</v>
      </c>
      <c r="L50" s="42">
        <f t="shared" si="7"/>
        <v>28.435000000000002</v>
      </c>
      <c r="M50" s="45">
        <f t="shared" si="8"/>
        <v>597.13499999999999</v>
      </c>
      <c r="N50" s="39">
        <v>0.85</v>
      </c>
      <c r="O50" s="42">
        <f t="shared" si="9"/>
        <v>483.39500000000004</v>
      </c>
      <c r="P50" s="42">
        <f t="shared" si="10"/>
        <v>1052.095</v>
      </c>
      <c r="Q50" s="39">
        <v>0.05</v>
      </c>
      <c r="R50" s="42">
        <f t="shared" si="11"/>
        <v>52.604750000000003</v>
      </c>
      <c r="S50" s="43">
        <f t="shared" si="12"/>
        <v>1104.69975</v>
      </c>
      <c r="T50" s="39">
        <v>0.84</v>
      </c>
      <c r="U50" s="42">
        <f t="shared" si="13"/>
        <v>406.05180000000001</v>
      </c>
      <c r="V50" s="42">
        <f t="shared" si="14"/>
        <v>974.7518</v>
      </c>
      <c r="W50" s="39">
        <v>0.05</v>
      </c>
      <c r="X50" s="42">
        <f t="shared" si="15"/>
        <v>48.737590000000004</v>
      </c>
      <c r="Y50" s="42">
        <f t="shared" si="16"/>
        <v>1023.48939</v>
      </c>
      <c r="Z50" s="39">
        <v>0.83</v>
      </c>
      <c r="AA50" s="42">
        <f t="shared" si="17"/>
        <v>472.02100000000002</v>
      </c>
      <c r="AB50" s="42">
        <f t="shared" si="18"/>
        <v>1040.721</v>
      </c>
      <c r="AC50" s="39">
        <v>0.05</v>
      </c>
      <c r="AD50" s="42">
        <f t="shared" si="19"/>
        <v>52.036050000000003</v>
      </c>
      <c r="AE50" s="42">
        <f t="shared" si="20"/>
        <v>1092.7570499999999</v>
      </c>
      <c r="AF50" s="39">
        <v>0.82</v>
      </c>
      <c r="AG50" s="42">
        <f t="shared" si="21"/>
        <v>466.334</v>
      </c>
      <c r="AH50" s="42">
        <f t="shared" si="22"/>
        <v>1035.0340000000001</v>
      </c>
      <c r="AI50" s="39">
        <v>0.05</v>
      </c>
      <c r="AJ50" s="42">
        <f t="shared" si="23"/>
        <v>51.751700000000007</v>
      </c>
      <c r="AK50" s="42">
        <f t="shared" si="24"/>
        <v>1086.7857000000001</v>
      </c>
      <c r="AL50" s="39">
        <v>0.76</v>
      </c>
      <c r="AM50" s="42">
        <f t="shared" si="25"/>
        <v>432.21200000000005</v>
      </c>
      <c r="AN50" s="42">
        <f t="shared" si="26"/>
        <v>1000.912</v>
      </c>
      <c r="AO50" s="39">
        <v>0.05</v>
      </c>
      <c r="AP50" s="42">
        <f t="shared" si="27"/>
        <v>50.045600000000007</v>
      </c>
      <c r="AQ50" s="42">
        <f t="shared" si="28"/>
        <v>1050.9576</v>
      </c>
      <c r="AR50" s="39">
        <v>0.7</v>
      </c>
      <c r="AS50" s="42">
        <f t="shared" si="29"/>
        <v>398.09000000000003</v>
      </c>
      <c r="AT50" s="42">
        <f t="shared" si="30"/>
        <v>966.79000000000008</v>
      </c>
      <c r="AU50" s="39">
        <v>0.05</v>
      </c>
      <c r="AV50" s="42">
        <f t="shared" si="31"/>
        <v>48.339500000000008</v>
      </c>
      <c r="AW50" s="42">
        <f t="shared" si="32"/>
        <v>1015.1295000000001</v>
      </c>
      <c r="AX50" s="39">
        <v>0.65</v>
      </c>
      <c r="AY50" s="42">
        <f t="shared" si="33"/>
        <v>369.65500000000003</v>
      </c>
      <c r="AZ50" s="42">
        <f t="shared" si="34"/>
        <v>938.35500000000002</v>
      </c>
      <c r="BA50" s="39">
        <v>0.05</v>
      </c>
      <c r="BB50" s="42">
        <f t="shared" si="35"/>
        <v>46.917750000000005</v>
      </c>
      <c r="BC50" s="42">
        <f t="shared" si="36"/>
        <v>985.27274999999997</v>
      </c>
      <c r="BD50" s="67">
        <v>0.35</v>
      </c>
      <c r="BE50" s="42">
        <f t="shared" si="37"/>
        <v>199.04500000000002</v>
      </c>
      <c r="BF50" s="42">
        <f t="shared" si="38"/>
        <v>767.74500000000012</v>
      </c>
      <c r="BG50" s="39">
        <v>0.05</v>
      </c>
      <c r="BH50" s="42">
        <f t="shared" si="39"/>
        <v>38.387250000000009</v>
      </c>
      <c r="BI50" s="42">
        <f t="shared" si="40"/>
        <v>806.13225000000011</v>
      </c>
      <c r="BN50" s="25">
        <f t="shared" si="51"/>
        <v>23.5</v>
      </c>
      <c r="BO50" s="19">
        <f t="shared" si="50"/>
        <v>493.5</v>
      </c>
      <c r="BP50" s="12">
        <f t="shared" si="43"/>
        <v>987</v>
      </c>
    </row>
    <row r="51" spans="2:68" x14ac:dyDescent="0.25">
      <c r="B51" s="13">
        <f>B50+1</f>
        <v>38</v>
      </c>
      <c r="C51" s="36" t="s">
        <v>52</v>
      </c>
      <c r="D51" s="27">
        <v>1</v>
      </c>
      <c r="E51" s="28">
        <v>1</v>
      </c>
      <c r="F51" s="26">
        <f>+D51+E51</f>
        <v>2</v>
      </c>
      <c r="G51" s="25">
        <v>470</v>
      </c>
      <c r="H51" s="41">
        <v>0.21</v>
      </c>
      <c r="I51" s="42">
        <f t="shared" si="5"/>
        <v>98.7</v>
      </c>
      <c r="J51" s="43">
        <f t="shared" si="6"/>
        <v>568.70000000000005</v>
      </c>
      <c r="K51" s="41">
        <v>0.05</v>
      </c>
      <c r="L51" s="42">
        <f t="shared" si="7"/>
        <v>28.435000000000002</v>
      </c>
      <c r="M51" s="45">
        <f t="shared" si="8"/>
        <v>597.13499999999999</v>
      </c>
      <c r="N51" s="39">
        <v>0.85</v>
      </c>
      <c r="O51" s="42">
        <f t="shared" si="9"/>
        <v>483.39500000000004</v>
      </c>
      <c r="P51" s="42">
        <f t="shared" si="10"/>
        <v>1052.095</v>
      </c>
      <c r="Q51" s="39">
        <v>0.05</v>
      </c>
      <c r="R51" s="42">
        <f t="shared" si="11"/>
        <v>52.604750000000003</v>
      </c>
      <c r="S51" s="43">
        <f t="shared" si="12"/>
        <v>1104.69975</v>
      </c>
      <c r="T51" s="39">
        <v>0.84</v>
      </c>
      <c r="U51" s="42">
        <f t="shared" si="13"/>
        <v>406.05180000000001</v>
      </c>
      <c r="V51" s="42">
        <f t="shared" si="14"/>
        <v>974.7518</v>
      </c>
      <c r="W51" s="39">
        <v>0.05</v>
      </c>
      <c r="X51" s="42">
        <f t="shared" si="15"/>
        <v>48.737590000000004</v>
      </c>
      <c r="Y51" s="42">
        <f t="shared" si="16"/>
        <v>1023.48939</v>
      </c>
      <c r="Z51" s="39">
        <v>0.83</v>
      </c>
      <c r="AA51" s="42">
        <f t="shared" si="17"/>
        <v>472.02100000000002</v>
      </c>
      <c r="AB51" s="42">
        <f t="shared" si="18"/>
        <v>1040.721</v>
      </c>
      <c r="AC51" s="39">
        <v>0.05</v>
      </c>
      <c r="AD51" s="42">
        <f t="shared" si="19"/>
        <v>52.036050000000003</v>
      </c>
      <c r="AE51" s="42">
        <f t="shared" si="20"/>
        <v>1092.7570499999999</v>
      </c>
      <c r="AF51" s="39">
        <v>0.82</v>
      </c>
      <c r="AG51" s="42">
        <f t="shared" si="21"/>
        <v>466.334</v>
      </c>
      <c r="AH51" s="42">
        <f t="shared" si="22"/>
        <v>1035.0340000000001</v>
      </c>
      <c r="AI51" s="39">
        <v>0.05</v>
      </c>
      <c r="AJ51" s="42">
        <f t="shared" si="23"/>
        <v>51.751700000000007</v>
      </c>
      <c r="AK51" s="42">
        <f t="shared" si="24"/>
        <v>1086.7857000000001</v>
      </c>
      <c r="AL51" s="39">
        <v>0.76</v>
      </c>
      <c r="AM51" s="42">
        <f t="shared" si="25"/>
        <v>432.21200000000005</v>
      </c>
      <c r="AN51" s="42">
        <f t="shared" si="26"/>
        <v>1000.912</v>
      </c>
      <c r="AO51" s="39">
        <v>0.05</v>
      </c>
      <c r="AP51" s="42">
        <f t="shared" si="27"/>
        <v>50.045600000000007</v>
      </c>
      <c r="AQ51" s="42">
        <f t="shared" si="28"/>
        <v>1050.9576</v>
      </c>
      <c r="AR51" s="39">
        <v>0.7</v>
      </c>
      <c r="AS51" s="42">
        <f t="shared" si="29"/>
        <v>398.09000000000003</v>
      </c>
      <c r="AT51" s="42">
        <f t="shared" si="30"/>
        <v>966.79000000000008</v>
      </c>
      <c r="AU51" s="39">
        <v>0.05</v>
      </c>
      <c r="AV51" s="42">
        <f t="shared" si="31"/>
        <v>48.339500000000008</v>
      </c>
      <c r="AW51" s="42">
        <f t="shared" si="32"/>
        <v>1015.1295000000001</v>
      </c>
      <c r="AX51" s="39">
        <v>0.65</v>
      </c>
      <c r="AY51" s="42">
        <f t="shared" si="33"/>
        <v>369.65500000000003</v>
      </c>
      <c r="AZ51" s="42">
        <f t="shared" si="34"/>
        <v>938.35500000000002</v>
      </c>
      <c r="BA51" s="39">
        <v>0.05</v>
      </c>
      <c r="BB51" s="42">
        <f t="shared" si="35"/>
        <v>46.917750000000005</v>
      </c>
      <c r="BC51" s="42">
        <f t="shared" si="36"/>
        <v>985.27274999999997</v>
      </c>
      <c r="BD51" s="67">
        <v>0.35</v>
      </c>
      <c r="BE51" s="42">
        <f t="shared" si="37"/>
        <v>199.04500000000002</v>
      </c>
      <c r="BF51" s="42">
        <f t="shared" si="38"/>
        <v>767.74500000000012</v>
      </c>
      <c r="BG51" s="39">
        <v>0.05</v>
      </c>
      <c r="BH51" s="42">
        <f t="shared" si="39"/>
        <v>38.387250000000009</v>
      </c>
      <c r="BI51" s="42">
        <f t="shared" si="40"/>
        <v>806.13225000000011</v>
      </c>
      <c r="BN51" s="25">
        <f t="shared" si="51"/>
        <v>23.5</v>
      </c>
      <c r="BO51" s="19">
        <f t="shared" si="50"/>
        <v>493.5</v>
      </c>
      <c r="BP51" s="12">
        <f t="shared" si="43"/>
        <v>987</v>
      </c>
    </row>
    <row r="52" spans="2:68" x14ac:dyDescent="0.25">
      <c r="B52" s="13">
        <f t="shared" ref="B52" si="53">B51+1</f>
        <v>39</v>
      </c>
      <c r="C52" s="36" t="s">
        <v>53</v>
      </c>
      <c r="D52" s="27">
        <v>1</v>
      </c>
      <c r="E52" s="28">
        <v>1</v>
      </c>
      <c r="F52" s="26">
        <f>+D52+E52</f>
        <v>2</v>
      </c>
      <c r="G52" s="25">
        <v>470</v>
      </c>
      <c r="H52" s="41">
        <v>0.21</v>
      </c>
      <c r="I52" s="42">
        <f t="shared" si="5"/>
        <v>98.7</v>
      </c>
      <c r="J52" s="43">
        <f t="shared" si="6"/>
        <v>568.70000000000005</v>
      </c>
      <c r="K52" s="41">
        <v>0.05</v>
      </c>
      <c r="L52" s="42">
        <f t="shared" si="7"/>
        <v>28.435000000000002</v>
      </c>
      <c r="M52" s="45">
        <f t="shared" si="8"/>
        <v>597.13499999999999</v>
      </c>
      <c r="N52" s="39">
        <v>0.85</v>
      </c>
      <c r="O52" s="42">
        <f t="shared" si="9"/>
        <v>483.39500000000004</v>
      </c>
      <c r="P52" s="42">
        <f t="shared" si="10"/>
        <v>1052.095</v>
      </c>
      <c r="Q52" s="39">
        <v>0.05</v>
      </c>
      <c r="R52" s="42">
        <f t="shared" si="11"/>
        <v>52.604750000000003</v>
      </c>
      <c r="S52" s="43">
        <f t="shared" si="12"/>
        <v>1104.69975</v>
      </c>
      <c r="T52" s="39">
        <v>0.84</v>
      </c>
      <c r="U52" s="42">
        <f t="shared" si="13"/>
        <v>406.05180000000001</v>
      </c>
      <c r="V52" s="42">
        <f t="shared" si="14"/>
        <v>974.7518</v>
      </c>
      <c r="W52" s="39">
        <v>0.05</v>
      </c>
      <c r="X52" s="42">
        <f t="shared" si="15"/>
        <v>48.737590000000004</v>
      </c>
      <c r="Y52" s="42">
        <f t="shared" si="16"/>
        <v>1023.48939</v>
      </c>
      <c r="Z52" s="39">
        <v>0.83</v>
      </c>
      <c r="AA52" s="42">
        <f t="shared" si="17"/>
        <v>472.02100000000002</v>
      </c>
      <c r="AB52" s="42">
        <f t="shared" si="18"/>
        <v>1040.721</v>
      </c>
      <c r="AC52" s="39">
        <v>0.05</v>
      </c>
      <c r="AD52" s="42">
        <f t="shared" si="19"/>
        <v>52.036050000000003</v>
      </c>
      <c r="AE52" s="42">
        <f t="shared" si="20"/>
        <v>1092.7570499999999</v>
      </c>
      <c r="AF52" s="39">
        <v>0.82</v>
      </c>
      <c r="AG52" s="42">
        <f t="shared" si="21"/>
        <v>466.334</v>
      </c>
      <c r="AH52" s="42">
        <f t="shared" si="22"/>
        <v>1035.0340000000001</v>
      </c>
      <c r="AI52" s="39">
        <v>0.05</v>
      </c>
      <c r="AJ52" s="42">
        <f t="shared" si="23"/>
        <v>51.751700000000007</v>
      </c>
      <c r="AK52" s="42">
        <f t="shared" si="24"/>
        <v>1086.7857000000001</v>
      </c>
      <c r="AL52" s="39">
        <v>0.76</v>
      </c>
      <c r="AM52" s="42">
        <f t="shared" si="25"/>
        <v>432.21200000000005</v>
      </c>
      <c r="AN52" s="42">
        <f t="shared" si="26"/>
        <v>1000.912</v>
      </c>
      <c r="AO52" s="39">
        <v>0.05</v>
      </c>
      <c r="AP52" s="42">
        <f t="shared" si="27"/>
        <v>50.045600000000007</v>
      </c>
      <c r="AQ52" s="42">
        <f t="shared" si="28"/>
        <v>1050.9576</v>
      </c>
      <c r="AR52" s="39">
        <v>0.7</v>
      </c>
      <c r="AS52" s="42">
        <f t="shared" si="29"/>
        <v>398.09000000000003</v>
      </c>
      <c r="AT52" s="42">
        <f t="shared" si="30"/>
        <v>966.79000000000008</v>
      </c>
      <c r="AU52" s="39">
        <v>0.05</v>
      </c>
      <c r="AV52" s="42">
        <f t="shared" si="31"/>
        <v>48.339500000000008</v>
      </c>
      <c r="AW52" s="42">
        <f t="shared" si="32"/>
        <v>1015.1295000000001</v>
      </c>
      <c r="AX52" s="39">
        <v>0.65</v>
      </c>
      <c r="AY52" s="42">
        <f t="shared" si="33"/>
        <v>369.65500000000003</v>
      </c>
      <c r="AZ52" s="42">
        <f t="shared" si="34"/>
        <v>938.35500000000002</v>
      </c>
      <c r="BA52" s="39">
        <v>0.05</v>
      </c>
      <c r="BB52" s="42">
        <f t="shared" si="35"/>
        <v>46.917750000000005</v>
      </c>
      <c r="BC52" s="42">
        <f t="shared" si="36"/>
        <v>985.27274999999997</v>
      </c>
      <c r="BD52" s="67">
        <v>0.35</v>
      </c>
      <c r="BE52" s="42">
        <f t="shared" si="37"/>
        <v>199.04500000000002</v>
      </c>
      <c r="BF52" s="42">
        <f t="shared" si="38"/>
        <v>767.74500000000012</v>
      </c>
      <c r="BG52" s="39">
        <v>0.05</v>
      </c>
      <c r="BH52" s="42">
        <f t="shared" si="39"/>
        <v>38.387250000000009</v>
      </c>
      <c r="BI52" s="42">
        <f t="shared" si="40"/>
        <v>806.13225000000011</v>
      </c>
      <c r="BN52" s="25">
        <f t="shared" si="51"/>
        <v>23.5</v>
      </c>
      <c r="BO52" s="19">
        <f t="shared" si="50"/>
        <v>493.5</v>
      </c>
      <c r="BP52" s="12">
        <f t="shared" si="43"/>
        <v>987</v>
      </c>
    </row>
    <row r="53" spans="2:68" x14ac:dyDescent="0.25">
      <c r="B53" s="13">
        <f>B52+1</f>
        <v>40</v>
      </c>
      <c r="C53" s="36" t="s">
        <v>54</v>
      </c>
      <c r="D53" s="27">
        <v>1</v>
      </c>
      <c r="E53" s="28">
        <v>1</v>
      </c>
      <c r="F53" s="26">
        <f>+D53+E53</f>
        <v>2</v>
      </c>
      <c r="G53" s="25">
        <v>470</v>
      </c>
      <c r="H53" s="41">
        <v>0.21</v>
      </c>
      <c r="I53" s="42">
        <f t="shared" si="5"/>
        <v>98.7</v>
      </c>
      <c r="J53" s="43">
        <f t="shared" si="6"/>
        <v>568.70000000000005</v>
      </c>
      <c r="K53" s="41">
        <v>0.05</v>
      </c>
      <c r="L53" s="42">
        <f t="shared" si="7"/>
        <v>28.435000000000002</v>
      </c>
      <c r="M53" s="45">
        <f t="shared" si="8"/>
        <v>597.13499999999999</v>
      </c>
      <c r="N53" s="39">
        <v>0.85</v>
      </c>
      <c r="O53" s="42">
        <f t="shared" si="9"/>
        <v>483.39500000000004</v>
      </c>
      <c r="P53" s="42">
        <f t="shared" si="10"/>
        <v>1052.095</v>
      </c>
      <c r="Q53" s="39">
        <v>0.05</v>
      </c>
      <c r="R53" s="42">
        <f t="shared" si="11"/>
        <v>52.604750000000003</v>
      </c>
      <c r="S53" s="43">
        <f t="shared" si="12"/>
        <v>1104.69975</v>
      </c>
      <c r="T53" s="39">
        <v>0.84</v>
      </c>
      <c r="U53" s="42">
        <f t="shared" si="13"/>
        <v>406.05180000000001</v>
      </c>
      <c r="V53" s="42">
        <f t="shared" si="14"/>
        <v>974.7518</v>
      </c>
      <c r="W53" s="39">
        <v>0.05</v>
      </c>
      <c r="X53" s="42">
        <f t="shared" si="15"/>
        <v>48.737590000000004</v>
      </c>
      <c r="Y53" s="42">
        <f t="shared" si="16"/>
        <v>1023.48939</v>
      </c>
      <c r="Z53" s="39">
        <v>0.83</v>
      </c>
      <c r="AA53" s="42">
        <f t="shared" si="17"/>
        <v>472.02100000000002</v>
      </c>
      <c r="AB53" s="42">
        <f t="shared" si="18"/>
        <v>1040.721</v>
      </c>
      <c r="AC53" s="39">
        <v>0.05</v>
      </c>
      <c r="AD53" s="42">
        <f t="shared" si="19"/>
        <v>52.036050000000003</v>
      </c>
      <c r="AE53" s="42">
        <f t="shared" si="20"/>
        <v>1092.7570499999999</v>
      </c>
      <c r="AF53" s="39">
        <v>0.82</v>
      </c>
      <c r="AG53" s="42">
        <f t="shared" si="21"/>
        <v>466.334</v>
      </c>
      <c r="AH53" s="42">
        <f t="shared" si="22"/>
        <v>1035.0340000000001</v>
      </c>
      <c r="AI53" s="39">
        <v>0.05</v>
      </c>
      <c r="AJ53" s="42">
        <f t="shared" si="23"/>
        <v>51.751700000000007</v>
      </c>
      <c r="AK53" s="42">
        <f t="shared" si="24"/>
        <v>1086.7857000000001</v>
      </c>
      <c r="AL53" s="39">
        <v>0.76</v>
      </c>
      <c r="AM53" s="42">
        <f t="shared" si="25"/>
        <v>432.21200000000005</v>
      </c>
      <c r="AN53" s="42">
        <f t="shared" si="26"/>
        <v>1000.912</v>
      </c>
      <c r="AO53" s="39">
        <v>0.05</v>
      </c>
      <c r="AP53" s="42">
        <f t="shared" si="27"/>
        <v>50.045600000000007</v>
      </c>
      <c r="AQ53" s="42">
        <f t="shared" si="28"/>
        <v>1050.9576</v>
      </c>
      <c r="AR53" s="39">
        <v>0.7</v>
      </c>
      <c r="AS53" s="42">
        <f t="shared" si="29"/>
        <v>398.09000000000003</v>
      </c>
      <c r="AT53" s="42">
        <f t="shared" si="30"/>
        <v>966.79000000000008</v>
      </c>
      <c r="AU53" s="39">
        <v>0.05</v>
      </c>
      <c r="AV53" s="42">
        <f t="shared" si="31"/>
        <v>48.339500000000008</v>
      </c>
      <c r="AW53" s="42">
        <f t="shared" si="32"/>
        <v>1015.1295000000001</v>
      </c>
      <c r="AX53" s="39">
        <v>0.65</v>
      </c>
      <c r="AY53" s="42">
        <f t="shared" si="33"/>
        <v>369.65500000000003</v>
      </c>
      <c r="AZ53" s="42">
        <f t="shared" si="34"/>
        <v>938.35500000000002</v>
      </c>
      <c r="BA53" s="39">
        <v>0.05</v>
      </c>
      <c r="BB53" s="42">
        <f t="shared" si="35"/>
        <v>46.917750000000005</v>
      </c>
      <c r="BC53" s="42">
        <f t="shared" si="36"/>
        <v>985.27274999999997</v>
      </c>
      <c r="BD53" s="67">
        <v>0.35</v>
      </c>
      <c r="BE53" s="42">
        <f t="shared" si="37"/>
        <v>199.04500000000002</v>
      </c>
      <c r="BF53" s="42">
        <f t="shared" si="38"/>
        <v>767.74500000000012</v>
      </c>
      <c r="BG53" s="39">
        <v>0.05</v>
      </c>
      <c r="BH53" s="42">
        <f t="shared" si="39"/>
        <v>38.387250000000009</v>
      </c>
      <c r="BI53" s="42">
        <f t="shared" si="40"/>
        <v>806.13225000000011</v>
      </c>
      <c r="BN53" s="25">
        <f t="shared" si="51"/>
        <v>23.5</v>
      </c>
      <c r="BO53" s="19">
        <f t="shared" si="50"/>
        <v>493.5</v>
      </c>
      <c r="BP53" s="12">
        <f t="shared" si="43"/>
        <v>987</v>
      </c>
    </row>
    <row r="54" spans="2:68" x14ac:dyDescent="0.25">
      <c r="B54" s="13"/>
      <c r="C54" s="14" t="s">
        <v>55</v>
      </c>
      <c r="D54" s="15"/>
      <c r="E54" s="16"/>
      <c r="F54" s="17"/>
      <c r="G54" s="18"/>
      <c r="H54" s="41">
        <v>0.21</v>
      </c>
      <c r="I54" s="42">
        <f t="shared" si="5"/>
        <v>0</v>
      </c>
      <c r="J54" s="43">
        <f t="shared" si="6"/>
        <v>0</v>
      </c>
      <c r="K54" s="41">
        <v>0.05</v>
      </c>
      <c r="L54" s="42">
        <f t="shared" si="7"/>
        <v>0</v>
      </c>
      <c r="M54" s="45">
        <f t="shared" si="8"/>
        <v>0</v>
      </c>
      <c r="N54" s="39">
        <v>0.85</v>
      </c>
      <c r="O54" s="42">
        <f t="shared" si="9"/>
        <v>0</v>
      </c>
      <c r="P54" s="42">
        <f t="shared" si="10"/>
        <v>0</v>
      </c>
      <c r="Q54" s="39">
        <v>0.05</v>
      </c>
      <c r="R54" s="42">
        <f t="shared" si="11"/>
        <v>0</v>
      </c>
      <c r="S54" s="43">
        <f t="shared" si="12"/>
        <v>0</v>
      </c>
      <c r="T54" s="39">
        <v>0.84</v>
      </c>
      <c r="U54" s="42">
        <f t="shared" si="13"/>
        <v>0</v>
      </c>
      <c r="V54" s="42">
        <f t="shared" si="14"/>
        <v>0</v>
      </c>
      <c r="W54" s="39">
        <v>0.05</v>
      </c>
      <c r="X54" s="42">
        <f t="shared" si="15"/>
        <v>0</v>
      </c>
      <c r="Y54" s="42">
        <f t="shared" si="16"/>
        <v>0</v>
      </c>
      <c r="Z54" s="39">
        <v>0.83</v>
      </c>
      <c r="AA54" s="42">
        <f t="shared" si="17"/>
        <v>0</v>
      </c>
      <c r="AB54" s="42">
        <f t="shared" si="18"/>
        <v>0</v>
      </c>
      <c r="AC54" s="39">
        <v>0.05</v>
      </c>
      <c r="AD54" s="42">
        <f t="shared" si="19"/>
        <v>0</v>
      </c>
      <c r="AE54" s="42">
        <f t="shared" si="20"/>
        <v>0</v>
      </c>
      <c r="AF54" s="39">
        <v>0.82</v>
      </c>
      <c r="AG54" s="42">
        <f t="shared" si="21"/>
        <v>0</v>
      </c>
      <c r="AH54" s="42">
        <f t="shared" si="22"/>
        <v>0</v>
      </c>
      <c r="AI54" s="39">
        <v>0.05</v>
      </c>
      <c r="AJ54" s="42">
        <f t="shared" si="23"/>
        <v>0</v>
      </c>
      <c r="AK54" s="42">
        <f t="shared" si="24"/>
        <v>0</v>
      </c>
      <c r="AL54" s="39">
        <v>0.76</v>
      </c>
      <c r="AM54" s="42">
        <f t="shared" si="25"/>
        <v>0</v>
      </c>
      <c r="AN54" s="42">
        <f t="shared" si="26"/>
        <v>0</v>
      </c>
      <c r="AO54" s="39">
        <v>0.05</v>
      </c>
      <c r="AP54" s="42">
        <f t="shared" si="27"/>
        <v>0</v>
      </c>
      <c r="AQ54" s="42">
        <f t="shared" si="28"/>
        <v>0</v>
      </c>
      <c r="AR54" s="39">
        <v>0.7</v>
      </c>
      <c r="AS54" s="42">
        <f t="shared" si="29"/>
        <v>0</v>
      </c>
      <c r="AT54" s="42">
        <f t="shared" si="30"/>
        <v>0</v>
      </c>
      <c r="AU54" s="39">
        <v>0.05</v>
      </c>
      <c r="AV54" s="42">
        <f t="shared" si="31"/>
        <v>0</v>
      </c>
      <c r="AW54" s="42">
        <f t="shared" si="32"/>
        <v>0</v>
      </c>
      <c r="AX54" s="39">
        <v>0.65</v>
      </c>
      <c r="AY54" s="42">
        <f t="shared" si="33"/>
        <v>0</v>
      </c>
      <c r="AZ54" s="42">
        <f t="shared" si="34"/>
        <v>0</v>
      </c>
      <c r="BA54" s="39">
        <v>0.05</v>
      </c>
      <c r="BB54" s="42">
        <f t="shared" si="35"/>
        <v>0</v>
      </c>
      <c r="BC54" s="42">
        <f t="shared" si="36"/>
        <v>0</v>
      </c>
      <c r="BD54" s="67">
        <v>0.35</v>
      </c>
      <c r="BE54" s="42">
        <f t="shared" si="37"/>
        <v>0</v>
      </c>
      <c r="BF54" s="42">
        <f t="shared" si="38"/>
        <v>0</v>
      </c>
      <c r="BG54" s="39">
        <v>0.05</v>
      </c>
      <c r="BH54" s="42">
        <f t="shared" si="39"/>
        <v>0</v>
      </c>
      <c r="BI54" s="42">
        <f t="shared" si="40"/>
        <v>0</v>
      </c>
      <c r="BN54" s="18"/>
      <c r="BO54" s="19"/>
      <c r="BP54" s="12">
        <f t="shared" si="43"/>
        <v>0</v>
      </c>
    </row>
    <row r="55" spans="2:68" x14ac:dyDescent="0.25">
      <c r="B55" s="13">
        <f>B53+1</f>
        <v>41</v>
      </c>
      <c r="C55" s="21" t="s">
        <v>9</v>
      </c>
      <c r="D55" s="22"/>
      <c r="E55" s="23"/>
      <c r="F55" s="24"/>
      <c r="G55" s="25">
        <v>470</v>
      </c>
      <c r="H55" s="41">
        <v>0.21</v>
      </c>
      <c r="I55" s="42">
        <f t="shared" si="5"/>
        <v>98.7</v>
      </c>
      <c r="J55" s="43">
        <f t="shared" si="6"/>
        <v>568.70000000000005</v>
      </c>
      <c r="K55" s="41">
        <v>0.05</v>
      </c>
      <c r="L55" s="42">
        <f t="shared" si="7"/>
        <v>28.435000000000002</v>
      </c>
      <c r="M55" s="45">
        <f t="shared" si="8"/>
        <v>597.13499999999999</v>
      </c>
      <c r="N55" s="39">
        <v>0.85</v>
      </c>
      <c r="O55" s="42">
        <f t="shared" si="9"/>
        <v>483.39500000000004</v>
      </c>
      <c r="P55" s="42">
        <f t="shared" si="10"/>
        <v>1052.095</v>
      </c>
      <c r="Q55" s="39">
        <v>0.05</v>
      </c>
      <c r="R55" s="42">
        <f t="shared" si="11"/>
        <v>52.604750000000003</v>
      </c>
      <c r="S55" s="43">
        <f t="shared" si="12"/>
        <v>1104.69975</v>
      </c>
      <c r="T55" s="39">
        <v>0.84</v>
      </c>
      <c r="U55" s="42">
        <f t="shared" si="13"/>
        <v>406.05180000000001</v>
      </c>
      <c r="V55" s="42">
        <f t="shared" si="14"/>
        <v>974.7518</v>
      </c>
      <c r="W55" s="39">
        <v>0.05</v>
      </c>
      <c r="X55" s="42">
        <f t="shared" si="15"/>
        <v>48.737590000000004</v>
      </c>
      <c r="Y55" s="42">
        <f t="shared" si="16"/>
        <v>1023.48939</v>
      </c>
      <c r="Z55" s="39">
        <v>0.83</v>
      </c>
      <c r="AA55" s="42">
        <f t="shared" si="17"/>
        <v>472.02100000000002</v>
      </c>
      <c r="AB55" s="42">
        <f t="shared" si="18"/>
        <v>1040.721</v>
      </c>
      <c r="AC55" s="39">
        <v>0.05</v>
      </c>
      <c r="AD55" s="42">
        <f t="shared" si="19"/>
        <v>52.036050000000003</v>
      </c>
      <c r="AE55" s="42">
        <f t="shared" si="20"/>
        <v>1092.7570499999999</v>
      </c>
      <c r="AF55" s="39">
        <v>0.82</v>
      </c>
      <c r="AG55" s="42">
        <f t="shared" si="21"/>
        <v>466.334</v>
      </c>
      <c r="AH55" s="42">
        <f t="shared" si="22"/>
        <v>1035.0340000000001</v>
      </c>
      <c r="AI55" s="39">
        <v>0.05</v>
      </c>
      <c r="AJ55" s="42">
        <f t="shared" si="23"/>
        <v>51.751700000000007</v>
      </c>
      <c r="AK55" s="42">
        <f t="shared" si="24"/>
        <v>1086.7857000000001</v>
      </c>
      <c r="AL55" s="39">
        <v>0.76</v>
      </c>
      <c r="AM55" s="42">
        <f t="shared" si="25"/>
        <v>432.21200000000005</v>
      </c>
      <c r="AN55" s="42">
        <f t="shared" si="26"/>
        <v>1000.912</v>
      </c>
      <c r="AO55" s="39">
        <v>0.05</v>
      </c>
      <c r="AP55" s="42">
        <f t="shared" si="27"/>
        <v>50.045600000000007</v>
      </c>
      <c r="AQ55" s="42">
        <f t="shared" si="28"/>
        <v>1050.9576</v>
      </c>
      <c r="AR55" s="39">
        <v>0.7</v>
      </c>
      <c r="AS55" s="42">
        <f t="shared" si="29"/>
        <v>398.09000000000003</v>
      </c>
      <c r="AT55" s="42">
        <f t="shared" si="30"/>
        <v>966.79000000000008</v>
      </c>
      <c r="AU55" s="39">
        <v>0.05</v>
      </c>
      <c r="AV55" s="42">
        <f t="shared" si="31"/>
        <v>48.339500000000008</v>
      </c>
      <c r="AW55" s="42">
        <f t="shared" si="32"/>
        <v>1015.1295000000001</v>
      </c>
      <c r="AX55" s="39">
        <v>0.65</v>
      </c>
      <c r="AY55" s="42">
        <f t="shared" si="33"/>
        <v>369.65500000000003</v>
      </c>
      <c r="AZ55" s="42">
        <f t="shared" si="34"/>
        <v>938.35500000000002</v>
      </c>
      <c r="BA55" s="39">
        <v>0.05</v>
      </c>
      <c r="BB55" s="42">
        <f t="shared" si="35"/>
        <v>46.917750000000005</v>
      </c>
      <c r="BC55" s="42">
        <f t="shared" si="36"/>
        <v>985.27274999999997</v>
      </c>
      <c r="BD55" s="67">
        <v>0.35</v>
      </c>
      <c r="BE55" s="42">
        <f t="shared" si="37"/>
        <v>199.04500000000002</v>
      </c>
      <c r="BF55" s="42">
        <f t="shared" si="38"/>
        <v>767.74500000000012</v>
      </c>
      <c r="BG55" s="39">
        <v>0.05</v>
      </c>
      <c r="BH55" s="42">
        <f t="shared" si="39"/>
        <v>38.387250000000009</v>
      </c>
      <c r="BI55" s="42">
        <f t="shared" si="40"/>
        <v>806.13225000000011</v>
      </c>
      <c r="BN55" s="25">
        <f t="shared" ref="BN55:BN61" si="54">+G55*5%</f>
        <v>23.5</v>
      </c>
      <c r="BO55" s="19">
        <f t="shared" ref="BO55:BO61" si="55">+G55+BN55</f>
        <v>493.5</v>
      </c>
      <c r="BP55" s="12">
        <f t="shared" si="43"/>
        <v>0</v>
      </c>
    </row>
    <row r="56" spans="2:68" x14ac:dyDescent="0.25">
      <c r="B56" s="13"/>
      <c r="C56" s="17" t="s">
        <v>10</v>
      </c>
      <c r="D56" s="24">
        <v>1</v>
      </c>
      <c r="E56" s="24">
        <v>1</v>
      </c>
      <c r="F56" s="26">
        <f t="shared" ref="F56:F61" si="56">+D56+E56</f>
        <v>2</v>
      </c>
      <c r="G56" s="25">
        <v>470</v>
      </c>
      <c r="H56" s="41">
        <v>0.21</v>
      </c>
      <c r="I56" s="42">
        <f t="shared" si="5"/>
        <v>98.7</v>
      </c>
      <c r="J56" s="43">
        <f t="shared" si="6"/>
        <v>568.70000000000005</v>
      </c>
      <c r="K56" s="41">
        <v>0.05</v>
      </c>
      <c r="L56" s="42">
        <f t="shared" si="7"/>
        <v>28.435000000000002</v>
      </c>
      <c r="M56" s="45">
        <f t="shared" si="8"/>
        <v>597.13499999999999</v>
      </c>
      <c r="N56" s="39">
        <v>0.85</v>
      </c>
      <c r="O56" s="42">
        <f t="shared" si="9"/>
        <v>483.39500000000004</v>
      </c>
      <c r="P56" s="42">
        <f t="shared" si="10"/>
        <v>1052.095</v>
      </c>
      <c r="Q56" s="39">
        <v>0.05</v>
      </c>
      <c r="R56" s="42">
        <f t="shared" si="11"/>
        <v>52.604750000000003</v>
      </c>
      <c r="S56" s="43">
        <f t="shared" si="12"/>
        <v>1104.69975</v>
      </c>
      <c r="T56" s="39">
        <v>0.84</v>
      </c>
      <c r="U56" s="42">
        <f t="shared" si="13"/>
        <v>406.05180000000001</v>
      </c>
      <c r="V56" s="42">
        <f t="shared" si="14"/>
        <v>974.7518</v>
      </c>
      <c r="W56" s="39">
        <v>0.05</v>
      </c>
      <c r="X56" s="42">
        <f t="shared" si="15"/>
        <v>48.737590000000004</v>
      </c>
      <c r="Y56" s="42">
        <f t="shared" si="16"/>
        <v>1023.48939</v>
      </c>
      <c r="Z56" s="39">
        <v>0.83</v>
      </c>
      <c r="AA56" s="42">
        <f t="shared" si="17"/>
        <v>472.02100000000002</v>
      </c>
      <c r="AB56" s="42">
        <f t="shared" si="18"/>
        <v>1040.721</v>
      </c>
      <c r="AC56" s="39">
        <v>0.05</v>
      </c>
      <c r="AD56" s="42">
        <f t="shared" si="19"/>
        <v>52.036050000000003</v>
      </c>
      <c r="AE56" s="42">
        <f t="shared" si="20"/>
        <v>1092.7570499999999</v>
      </c>
      <c r="AF56" s="39">
        <v>0.82</v>
      </c>
      <c r="AG56" s="42">
        <f t="shared" si="21"/>
        <v>466.334</v>
      </c>
      <c r="AH56" s="42">
        <f t="shared" si="22"/>
        <v>1035.0340000000001</v>
      </c>
      <c r="AI56" s="39">
        <v>0.05</v>
      </c>
      <c r="AJ56" s="42">
        <f t="shared" si="23"/>
        <v>51.751700000000007</v>
      </c>
      <c r="AK56" s="42">
        <f t="shared" si="24"/>
        <v>1086.7857000000001</v>
      </c>
      <c r="AL56" s="39">
        <v>0.76</v>
      </c>
      <c r="AM56" s="42">
        <f t="shared" si="25"/>
        <v>432.21200000000005</v>
      </c>
      <c r="AN56" s="42">
        <f t="shared" si="26"/>
        <v>1000.912</v>
      </c>
      <c r="AO56" s="39">
        <v>0.05</v>
      </c>
      <c r="AP56" s="42">
        <f t="shared" si="27"/>
        <v>50.045600000000007</v>
      </c>
      <c r="AQ56" s="42">
        <f t="shared" si="28"/>
        <v>1050.9576</v>
      </c>
      <c r="AR56" s="39">
        <v>0.7</v>
      </c>
      <c r="AS56" s="42">
        <f t="shared" si="29"/>
        <v>398.09000000000003</v>
      </c>
      <c r="AT56" s="42">
        <f t="shared" si="30"/>
        <v>966.79000000000008</v>
      </c>
      <c r="AU56" s="39">
        <v>0.05</v>
      </c>
      <c r="AV56" s="42">
        <f t="shared" si="31"/>
        <v>48.339500000000008</v>
      </c>
      <c r="AW56" s="42">
        <f t="shared" si="32"/>
        <v>1015.1295000000001</v>
      </c>
      <c r="AX56" s="39">
        <v>0.65</v>
      </c>
      <c r="AY56" s="42">
        <f t="shared" si="33"/>
        <v>369.65500000000003</v>
      </c>
      <c r="AZ56" s="42">
        <f t="shared" si="34"/>
        <v>938.35500000000002</v>
      </c>
      <c r="BA56" s="39">
        <v>0.05</v>
      </c>
      <c r="BB56" s="42">
        <f t="shared" si="35"/>
        <v>46.917750000000005</v>
      </c>
      <c r="BC56" s="42">
        <f t="shared" si="36"/>
        <v>985.27274999999997</v>
      </c>
      <c r="BD56" s="67">
        <v>0.35</v>
      </c>
      <c r="BE56" s="42">
        <f t="shared" si="37"/>
        <v>199.04500000000002</v>
      </c>
      <c r="BF56" s="42">
        <f t="shared" si="38"/>
        <v>767.74500000000012</v>
      </c>
      <c r="BG56" s="39">
        <v>0.05</v>
      </c>
      <c r="BH56" s="42">
        <f t="shared" si="39"/>
        <v>38.387250000000009</v>
      </c>
      <c r="BI56" s="42">
        <f t="shared" si="40"/>
        <v>806.13225000000011</v>
      </c>
      <c r="BN56" s="25">
        <f t="shared" si="54"/>
        <v>23.5</v>
      </c>
      <c r="BO56" s="19">
        <f t="shared" si="55"/>
        <v>493.5</v>
      </c>
      <c r="BP56" s="12">
        <f t="shared" si="43"/>
        <v>987</v>
      </c>
    </row>
    <row r="57" spans="2:68" x14ac:dyDescent="0.25">
      <c r="B57" s="13">
        <f>B55+1</f>
        <v>42</v>
      </c>
      <c r="C57" s="17" t="s">
        <v>11</v>
      </c>
      <c r="D57" s="24">
        <v>1</v>
      </c>
      <c r="E57" s="24">
        <v>1</v>
      </c>
      <c r="F57" s="26">
        <f t="shared" si="56"/>
        <v>2</v>
      </c>
      <c r="G57" s="25">
        <v>470</v>
      </c>
      <c r="H57" s="41">
        <v>0.21</v>
      </c>
      <c r="I57" s="42">
        <f t="shared" si="5"/>
        <v>98.7</v>
      </c>
      <c r="J57" s="43">
        <f t="shared" si="6"/>
        <v>568.70000000000005</v>
      </c>
      <c r="K57" s="41">
        <v>0.05</v>
      </c>
      <c r="L57" s="42">
        <f t="shared" si="7"/>
        <v>28.435000000000002</v>
      </c>
      <c r="M57" s="45">
        <f t="shared" si="8"/>
        <v>597.13499999999999</v>
      </c>
      <c r="N57" s="39">
        <v>0.85</v>
      </c>
      <c r="O57" s="42">
        <f t="shared" si="9"/>
        <v>483.39500000000004</v>
      </c>
      <c r="P57" s="42">
        <f t="shared" si="10"/>
        <v>1052.095</v>
      </c>
      <c r="Q57" s="39">
        <v>0.05</v>
      </c>
      <c r="R57" s="42">
        <f t="shared" si="11"/>
        <v>52.604750000000003</v>
      </c>
      <c r="S57" s="43">
        <f t="shared" si="12"/>
        <v>1104.69975</v>
      </c>
      <c r="T57" s="39">
        <v>0.84</v>
      </c>
      <c r="U57" s="42">
        <f t="shared" si="13"/>
        <v>406.05180000000001</v>
      </c>
      <c r="V57" s="42">
        <f t="shared" si="14"/>
        <v>974.7518</v>
      </c>
      <c r="W57" s="39">
        <v>0.05</v>
      </c>
      <c r="X57" s="42">
        <f t="shared" si="15"/>
        <v>48.737590000000004</v>
      </c>
      <c r="Y57" s="42">
        <f t="shared" si="16"/>
        <v>1023.48939</v>
      </c>
      <c r="Z57" s="39">
        <v>0.83</v>
      </c>
      <c r="AA57" s="42">
        <f t="shared" si="17"/>
        <v>472.02100000000002</v>
      </c>
      <c r="AB57" s="42">
        <f t="shared" si="18"/>
        <v>1040.721</v>
      </c>
      <c r="AC57" s="39">
        <v>0.05</v>
      </c>
      <c r="AD57" s="42">
        <f t="shared" si="19"/>
        <v>52.036050000000003</v>
      </c>
      <c r="AE57" s="42">
        <f t="shared" si="20"/>
        <v>1092.7570499999999</v>
      </c>
      <c r="AF57" s="39">
        <v>0.82</v>
      </c>
      <c r="AG57" s="42">
        <f t="shared" si="21"/>
        <v>466.334</v>
      </c>
      <c r="AH57" s="42">
        <f t="shared" si="22"/>
        <v>1035.0340000000001</v>
      </c>
      <c r="AI57" s="39">
        <v>0.05</v>
      </c>
      <c r="AJ57" s="42">
        <f t="shared" si="23"/>
        <v>51.751700000000007</v>
      </c>
      <c r="AK57" s="42">
        <f t="shared" si="24"/>
        <v>1086.7857000000001</v>
      </c>
      <c r="AL57" s="39">
        <v>0.76</v>
      </c>
      <c r="AM57" s="42">
        <f t="shared" si="25"/>
        <v>432.21200000000005</v>
      </c>
      <c r="AN57" s="42">
        <f t="shared" si="26"/>
        <v>1000.912</v>
      </c>
      <c r="AO57" s="39">
        <v>0.05</v>
      </c>
      <c r="AP57" s="42">
        <f t="shared" si="27"/>
        <v>50.045600000000007</v>
      </c>
      <c r="AQ57" s="42">
        <f t="shared" si="28"/>
        <v>1050.9576</v>
      </c>
      <c r="AR57" s="39">
        <v>0.7</v>
      </c>
      <c r="AS57" s="42">
        <f t="shared" si="29"/>
        <v>398.09000000000003</v>
      </c>
      <c r="AT57" s="42">
        <f t="shared" si="30"/>
        <v>966.79000000000008</v>
      </c>
      <c r="AU57" s="39">
        <v>0.05</v>
      </c>
      <c r="AV57" s="42">
        <f t="shared" si="31"/>
        <v>48.339500000000008</v>
      </c>
      <c r="AW57" s="42">
        <f t="shared" si="32"/>
        <v>1015.1295000000001</v>
      </c>
      <c r="AX57" s="39">
        <v>0.65</v>
      </c>
      <c r="AY57" s="42">
        <f t="shared" si="33"/>
        <v>369.65500000000003</v>
      </c>
      <c r="AZ57" s="42">
        <f t="shared" si="34"/>
        <v>938.35500000000002</v>
      </c>
      <c r="BA57" s="39">
        <v>0.05</v>
      </c>
      <c r="BB57" s="42">
        <f t="shared" si="35"/>
        <v>46.917750000000005</v>
      </c>
      <c r="BC57" s="42">
        <f t="shared" si="36"/>
        <v>985.27274999999997</v>
      </c>
      <c r="BD57" s="67">
        <v>0.35</v>
      </c>
      <c r="BE57" s="42">
        <f t="shared" si="37"/>
        <v>199.04500000000002</v>
      </c>
      <c r="BF57" s="42">
        <f t="shared" si="38"/>
        <v>767.74500000000012</v>
      </c>
      <c r="BG57" s="39">
        <v>0.05</v>
      </c>
      <c r="BH57" s="42">
        <f t="shared" si="39"/>
        <v>38.387250000000009</v>
      </c>
      <c r="BI57" s="42">
        <f t="shared" si="40"/>
        <v>806.13225000000011</v>
      </c>
      <c r="BN57" s="25">
        <f t="shared" si="54"/>
        <v>23.5</v>
      </c>
      <c r="BO57" s="19">
        <f t="shared" si="55"/>
        <v>493.5</v>
      </c>
      <c r="BP57" s="12">
        <f t="shared" si="43"/>
        <v>987</v>
      </c>
    </row>
    <row r="58" spans="2:68" x14ac:dyDescent="0.25">
      <c r="B58" s="13">
        <f t="shared" ref="B58:B61" si="57">B57+1</f>
        <v>43</v>
      </c>
      <c r="C58" s="17" t="s">
        <v>12</v>
      </c>
      <c r="D58" s="24">
        <v>1</v>
      </c>
      <c r="E58" s="24">
        <v>1</v>
      </c>
      <c r="F58" s="26">
        <f t="shared" si="56"/>
        <v>2</v>
      </c>
      <c r="G58" s="25">
        <v>470</v>
      </c>
      <c r="H58" s="41">
        <v>0.21</v>
      </c>
      <c r="I58" s="42">
        <f t="shared" si="5"/>
        <v>98.7</v>
      </c>
      <c r="J58" s="43">
        <f t="shared" si="6"/>
        <v>568.70000000000005</v>
      </c>
      <c r="K58" s="41">
        <v>0.05</v>
      </c>
      <c r="L58" s="42">
        <f t="shared" si="7"/>
        <v>28.435000000000002</v>
      </c>
      <c r="M58" s="45">
        <f t="shared" si="8"/>
        <v>597.13499999999999</v>
      </c>
      <c r="N58" s="39">
        <v>0.85</v>
      </c>
      <c r="O58" s="42">
        <f t="shared" si="9"/>
        <v>483.39500000000004</v>
      </c>
      <c r="P58" s="42">
        <f t="shared" si="10"/>
        <v>1052.095</v>
      </c>
      <c r="Q58" s="39">
        <v>0.05</v>
      </c>
      <c r="R58" s="42">
        <f t="shared" si="11"/>
        <v>52.604750000000003</v>
      </c>
      <c r="S58" s="43">
        <f t="shared" si="12"/>
        <v>1104.69975</v>
      </c>
      <c r="T58" s="39">
        <v>0.84</v>
      </c>
      <c r="U58" s="42">
        <f t="shared" si="13"/>
        <v>406.05180000000001</v>
      </c>
      <c r="V58" s="42">
        <f t="shared" si="14"/>
        <v>974.7518</v>
      </c>
      <c r="W58" s="39">
        <v>0.05</v>
      </c>
      <c r="X58" s="42">
        <f t="shared" si="15"/>
        <v>48.737590000000004</v>
      </c>
      <c r="Y58" s="42">
        <f t="shared" si="16"/>
        <v>1023.48939</v>
      </c>
      <c r="Z58" s="39">
        <v>0.83</v>
      </c>
      <c r="AA58" s="42">
        <f t="shared" si="17"/>
        <v>472.02100000000002</v>
      </c>
      <c r="AB58" s="42">
        <f t="shared" si="18"/>
        <v>1040.721</v>
      </c>
      <c r="AC58" s="39">
        <v>0.05</v>
      </c>
      <c r="AD58" s="42">
        <f t="shared" si="19"/>
        <v>52.036050000000003</v>
      </c>
      <c r="AE58" s="42">
        <f t="shared" si="20"/>
        <v>1092.7570499999999</v>
      </c>
      <c r="AF58" s="39">
        <v>0.82</v>
      </c>
      <c r="AG58" s="42">
        <f t="shared" si="21"/>
        <v>466.334</v>
      </c>
      <c r="AH58" s="42">
        <f t="shared" si="22"/>
        <v>1035.0340000000001</v>
      </c>
      <c r="AI58" s="39">
        <v>0.05</v>
      </c>
      <c r="AJ58" s="42">
        <f t="shared" si="23"/>
        <v>51.751700000000007</v>
      </c>
      <c r="AK58" s="42">
        <f t="shared" si="24"/>
        <v>1086.7857000000001</v>
      </c>
      <c r="AL58" s="39">
        <v>0.76</v>
      </c>
      <c r="AM58" s="42">
        <f t="shared" si="25"/>
        <v>432.21200000000005</v>
      </c>
      <c r="AN58" s="42">
        <f t="shared" si="26"/>
        <v>1000.912</v>
      </c>
      <c r="AO58" s="39">
        <v>0.05</v>
      </c>
      <c r="AP58" s="42">
        <f t="shared" si="27"/>
        <v>50.045600000000007</v>
      </c>
      <c r="AQ58" s="42">
        <f t="shared" si="28"/>
        <v>1050.9576</v>
      </c>
      <c r="AR58" s="39">
        <v>0.7</v>
      </c>
      <c r="AS58" s="42">
        <f t="shared" si="29"/>
        <v>398.09000000000003</v>
      </c>
      <c r="AT58" s="42">
        <f t="shared" si="30"/>
        <v>966.79000000000008</v>
      </c>
      <c r="AU58" s="39">
        <v>0.05</v>
      </c>
      <c r="AV58" s="42">
        <f t="shared" si="31"/>
        <v>48.339500000000008</v>
      </c>
      <c r="AW58" s="42">
        <f t="shared" si="32"/>
        <v>1015.1295000000001</v>
      </c>
      <c r="AX58" s="39">
        <v>0.65</v>
      </c>
      <c r="AY58" s="42">
        <f t="shared" si="33"/>
        <v>369.65500000000003</v>
      </c>
      <c r="AZ58" s="42">
        <f t="shared" si="34"/>
        <v>938.35500000000002</v>
      </c>
      <c r="BA58" s="39">
        <v>0.05</v>
      </c>
      <c r="BB58" s="42">
        <f t="shared" si="35"/>
        <v>46.917750000000005</v>
      </c>
      <c r="BC58" s="42">
        <f t="shared" si="36"/>
        <v>985.27274999999997</v>
      </c>
      <c r="BD58" s="67">
        <v>0.35</v>
      </c>
      <c r="BE58" s="42">
        <f t="shared" si="37"/>
        <v>199.04500000000002</v>
      </c>
      <c r="BF58" s="42">
        <f t="shared" si="38"/>
        <v>767.74500000000012</v>
      </c>
      <c r="BG58" s="39">
        <v>0.05</v>
      </c>
      <c r="BH58" s="42">
        <f t="shared" si="39"/>
        <v>38.387250000000009</v>
      </c>
      <c r="BI58" s="42">
        <f t="shared" si="40"/>
        <v>806.13225000000011</v>
      </c>
      <c r="BN58" s="25">
        <f t="shared" si="54"/>
        <v>23.5</v>
      </c>
      <c r="BO58" s="19">
        <f t="shared" si="55"/>
        <v>493.5</v>
      </c>
      <c r="BP58" s="12">
        <f t="shared" si="43"/>
        <v>987</v>
      </c>
    </row>
    <row r="59" spans="2:68" x14ac:dyDescent="0.25">
      <c r="B59" s="13">
        <f>B57+1</f>
        <v>43</v>
      </c>
      <c r="C59" s="17" t="s">
        <v>13</v>
      </c>
      <c r="D59" s="24">
        <v>1</v>
      </c>
      <c r="E59" s="24">
        <v>1</v>
      </c>
      <c r="F59" s="26">
        <f t="shared" si="56"/>
        <v>2</v>
      </c>
      <c r="G59" s="25">
        <v>470</v>
      </c>
      <c r="H59" s="41">
        <v>0.21</v>
      </c>
      <c r="I59" s="42">
        <f t="shared" si="5"/>
        <v>98.7</v>
      </c>
      <c r="J59" s="43">
        <f t="shared" si="6"/>
        <v>568.70000000000005</v>
      </c>
      <c r="K59" s="41">
        <v>0.05</v>
      </c>
      <c r="L59" s="42">
        <f t="shared" si="7"/>
        <v>28.435000000000002</v>
      </c>
      <c r="M59" s="45">
        <f t="shared" si="8"/>
        <v>597.13499999999999</v>
      </c>
      <c r="N59" s="39">
        <v>0.85</v>
      </c>
      <c r="O59" s="42">
        <f t="shared" si="9"/>
        <v>483.39500000000004</v>
      </c>
      <c r="P59" s="42">
        <f t="shared" si="10"/>
        <v>1052.095</v>
      </c>
      <c r="Q59" s="39">
        <v>0.05</v>
      </c>
      <c r="R59" s="42">
        <f t="shared" si="11"/>
        <v>52.604750000000003</v>
      </c>
      <c r="S59" s="43">
        <f t="shared" si="12"/>
        <v>1104.69975</v>
      </c>
      <c r="T59" s="39">
        <v>0.84</v>
      </c>
      <c r="U59" s="42">
        <f t="shared" si="13"/>
        <v>406.05180000000001</v>
      </c>
      <c r="V59" s="42">
        <f t="shared" si="14"/>
        <v>974.7518</v>
      </c>
      <c r="W59" s="39">
        <v>0.05</v>
      </c>
      <c r="X59" s="42">
        <f t="shared" si="15"/>
        <v>48.737590000000004</v>
      </c>
      <c r="Y59" s="42">
        <f t="shared" si="16"/>
        <v>1023.48939</v>
      </c>
      <c r="Z59" s="39">
        <v>0.83</v>
      </c>
      <c r="AA59" s="42">
        <f t="shared" si="17"/>
        <v>472.02100000000002</v>
      </c>
      <c r="AB59" s="42">
        <f t="shared" si="18"/>
        <v>1040.721</v>
      </c>
      <c r="AC59" s="39">
        <v>0.05</v>
      </c>
      <c r="AD59" s="42">
        <f t="shared" si="19"/>
        <v>52.036050000000003</v>
      </c>
      <c r="AE59" s="42">
        <f t="shared" si="20"/>
        <v>1092.7570499999999</v>
      </c>
      <c r="AF59" s="39">
        <v>0.82</v>
      </c>
      <c r="AG59" s="42">
        <f t="shared" si="21"/>
        <v>466.334</v>
      </c>
      <c r="AH59" s="42">
        <f t="shared" si="22"/>
        <v>1035.0340000000001</v>
      </c>
      <c r="AI59" s="39">
        <v>0.05</v>
      </c>
      <c r="AJ59" s="42">
        <f t="shared" si="23"/>
        <v>51.751700000000007</v>
      </c>
      <c r="AK59" s="42">
        <f t="shared" si="24"/>
        <v>1086.7857000000001</v>
      </c>
      <c r="AL59" s="39">
        <v>0.76</v>
      </c>
      <c r="AM59" s="42">
        <f t="shared" si="25"/>
        <v>432.21200000000005</v>
      </c>
      <c r="AN59" s="42">
        <f t="shared" si="26"/>
        <v>1000.912</v>
      </c>
      <c r="AO59" s="39">
        <v>0.05</v>
      </c>
      <c r="AP59" s="42">
        <f t="shared" si="27"/>
        <v>50.045600000000007</v>
      </c>
      <c r="AQ59" s="42">
        <f t="shared" si="28"/>
        <v>1050.9576</v>
      </c>
      <c r="AR59" s="39">
        <v>0.7</v>
      </c>
      <c r="AS59" s="42">
        <f t="shared" si="29"/>
        <v>398.09000000000003</v>
      </c>
      <c r="AT59" s="42">
        <f t="shared" si="30"/>
        <v>966.79000000000008</v>
      </c>
      <c r="AU59" s="39">
        <v>0.05</v>
      </c>
      <c r="AV59" s="42">
        <f t="shared" si="31"/>
        <v>48.339500000000008</v>
      </c>
      <c r="AW59" s="42">
        <f t="shared" si="32"/>
        <v>1015.1295000000001</v>
      </c>
      <c r="AX59" s="39">
        <v>0.65</v>
      </c>
      <c r="AY59" s="42">
        <f t="shared" si="33"/>
        <v>369.65500000000003</v>
      </c>
      <c r="AZ59" s="42">
        <f t="shared" si="34"/>
        <v>938.35500000000002</v>
      </c>
      <c r="BA59" s="39">
        <v>0.05</v>
      </c>
      <c r="BB59" s="42">
        <f t="shared" si="35"/>
        <v>46.917750000000005</v>
      </c>
      <c r="BC59" s="42">
        <f t="shared" si="36"/>
        <v>985.27274999999997</v>
      </c>
      <c r="BD59" s="67">
        <v>0.35</v>
      </c>
      <c r="BE59" s="42">
        <f t="shared" si="37"/>
        <v>199.04500000000002</v>
      </c>
      <c r="BF59" s="42">
        <f t="shared" si="38"/>
        <v>767.74500000000012</v>
      </c>
      <c r="BG59" s="39">
        <v>0.05</v>
      </c>
      <c r="BH59" s="42">
        <f t="shared" si="39"/>
        <v>38.387250000000009</v>
      </c>
      <c r="BI59" s="42">
        <f t="shared" si="40"/>
        <v>806.13225000000011</v>
      </c>
      <c r="BN59" s="25">
        <f t="shared" si="54"/>
        <v>23.5</v>
      </c>
      <c r="BO59" s="19">
        <f t="shared" si="55"/>
        <v>493.5</v>
      </c>
      <c r="BP59" s="12">
        <f t="shared" si="43"/>
        <v>987</v>
      </c>
    </row>
    <row r="60" spans="2:68" x14ac:dyDescent="0.25">
      <c r="B60" s="13">
        <f>B59+1</f>
        <v>44</v>
      </c>
      <c r="C60" s="17" t="s">
        <v>14</v>
      </c>
      <c r="D60" s="24">
        <v>1</v>
      </c>
      <c r="E60" s="24">
        <v>1</v>
      </c>
      <c r="F60" s="26">
        <f t="shared" si="56"/>
        <v>2</v>
      </c>
      <c r="G60" s="25">
        <v>470</v>
      </c>
      <c r="H60" s="41">
        <v>0.21</v>
      </c>
      <c r="I60" s="42">
        <f t="shared" si="5"/>
        <v>98.7</v>
      </c>
      <c r="J60" s="43">
        <f t="shared" si="6"/>
        <v>568.70000000000005</v>
      </c>
      <c r="K60" s="41">
        <v>0.05</v>
      </c>
      <c r="L60" s="42">
        <f t="shared" si="7"/>
        <v>28.435000000000002</v>
      </c>
      <c r="M60" s="45">
        <f t="shared" si="8"/>
        <v>597.13499999999999</v>
      </c>
      <c r="N60" s="39">
        <v>0.85</v>
      </c>
      <c r="O60" s="42">
        <f t="shared" si="9"/>
        <v>483.39500000000004</v>
      </c>
      <c r="P60" s="42">
        <f t="shared" si="10"/>
        <v>1052.095</v>
      </c>
      <c r="Q60" s="39">
        <v>0.05</v>
      </c>
      <c r="R60" s="42">
        <f t="shared" si="11"/>
        <v>52.604750000000003</v>
      </c>
      <c r="S60" s="43">
        <f t="shared" si="12"/>
        <v>1104.69975</v>
      </c>
      <c r="T60" s="39">
        <v>0.84</v>
      </c>
      <c r="U60" s="42">
        <f t="shared" si="13"/>
        <v>406.05180000000001</v>
      </c>
      <c r="V60" s="42">
        <f t="shared" si="14"/>
        <v>974.7518</v>
      </c>
      <c r="W60" s="39">
        <v>0.05</v>
      </c>
      <c r="X60" s="42">
        <f t="shared" si="15"/>
        <v>48.737590000000004</v>
      </c>
      <c r="Y60" s="42">
        <f t="shared" si="16"/>
        <v>1023.48939</v>
      </c>
      <c r="Z60" s="39">
        <v>0.83</v>
      </c>
      <c r="AA60" s="42">
        <f t="shared" si="17"/>
        <v>472.02100000000002</v>
      </c>
      <c r="AB60" s="42">
        <f t="shared" si="18"/>
        <v>1040.721</v>
      </c>
      <c r="AC60" s="39">
        <v>0.05</v>
      </c>
      <c r="AD60" s="42">
        <f t="shared" si="19"/>
        <v>52.036050000000003</v>
      </c>
      <c r="AE60" s="42">
        <f t="shared" si="20"/>
        <v>1092.7570499999999</v>
      </c>
      <c r="AF60" s="39">
        <v>0.82</v>
      </c>
      <c r="AG60" s="42">
        <f t="shared" si="21"/>
        <v>466.334</v>
      </c>
      <c r="AH60" s="42">
        <f t="shared" si="22"/>
        <v>1035.0340000000001</v>
      </c>
      <c r="AI60" s="39">
        <v>0.05</v>
      </c>
      <c r="AJ60" s="42">
        <f t="shared" si="23"/>
        <v>51.751700000000007</v>
      </c>
      <c r="AK60" s="42">
        <f t="shared" si="24"/>
        <v>1086.7857000000001</v>
      </c>
      <c r="AL60" s="39">
        <v>0.76</v>
      </c>
      <c r="AM60" s="42">
        <f t="shared" si="25"/>
        <v>432.21200000000005</v>
      </c>
      <c r="AN60" s="42">
        <f t="shared" si="26"/>
        <v>1000.912</v>
      </c>
      <c r="AO60" s="39">
        <v>0.05</v>
      </c>
      <c r="AP60" s="42">
        <f t="shared" si="27"/>
        <v>50.045600000000007</v>
      </c>
      <c r="AQ60" s="42">
        <f t="shared" si="28"/>
        <v>1050.9576</v>
      </c>
      <c r="AR60" s="39">
        <v>0.7</v>
      </c>
      <c r="AS60" s="42">
        <f t="shared" si="29"/>
        <v>398.09000000000003</v>
      </c>
      <c r="AT60" s="42">
        <f t="shared" si="30"/>
        <v>966.79000000000008</v>
      </c>
      <c r="AU60" s="39">
        <v>0.05</v>
      </c>
      <c r="AV60" s="42">
        <f t="shared" si="31"/>
        <v>48.339500000000008</v>
      </c>
      <c r="AW60" s="42">
        <f t="shared" si="32"/>
        <v>1015.1295000000001</v>
      </c>
      <c r="AX60" s="39">
        <v>0.65</v>
      </c>
      <c r="AY60" s="42">
        <f t="shared" si="33"/>
        <v>369.65500000000003</v>
      </c>
      <c r="AZ60" s="42">
        <f t="shared" si="34"/>
        <v>938.35500000000002</v>
      </c>
      <c r="BA60" s="39">
        <v>0.05</v>
      </c>
      <c r="BB60" s="42">
        <f t="shared" si="35"/>
        <v>46.917750000000005</v>
      </c>
      <c r="BC60" s="42">
        <f t="shared" si="36"/>
        <v>985.27274999999997</v>
      </c>
      <c r="BD60" s="67">
        <v>0.35</v>
      </c>
      <c r="BE60" s="42">
        <f t="shared" si="37"/>
        <v>199.04500000000002</v>
      </c>
      <c r="BF60" s="42">
        <f t="shared" si="38"/>
        <v>767.74500000000012</v>
      </c>
      <c r="BG60" s="39">
        <v>0.05</v>
      </c>
      <c r="BH60" s="42">
        <f t="shared" si="39"/>
        <v>38.387250000000009</v>
      </c>
      <c r="BI60" s="42">
        <f t="shared" si="40"/>
        <v>806.13225000000011</v>
      </c>
      <c r="BN60" s="25">
        <f t="shared" si="54"/>
        <v>23.5</v>
      </c>
      <c r="BO60" s="19">
        <f t="shared" si="55"/>
        <v>493.5</v>
      </c>
      <c r="BP60" s="12">
        <f t="shared" si="43"/>
        <v>987</v>
      </c>
    </row>
    <row r="61" spans="2:68" x14ac:dyDescent="0.25">
      <c r="B61" s="13">
        <f t="shared" si="57"/>
        <v>45</v>
      </c>
      <c r="C61" s="17" t="s">
        <v>15</v>
      </c>
      <c r="D61" s="24">
        <v>1</v>
      </c>
      <c r="E61" s="24">
        <v>1</v>
      </c>
      <c r="F61" s="26">
        <f t="shared" si="56"/>
        <v>2</v>
      </c>
      <c r="G61" s="25">
        <v>470</v>
      </c>
      <c r="H61" s="41">
        <v>0.21</v>
      </c>
      <c r="I61" s="42">
        <f t="shared" si="5"/>
        <v>98.7</v>
      </c>
      <c r="J61" s="43">
        <f t="shared" si="6"/>
        <v>568.70000000000005</v>
      </c>
      <c r="K61" s="41">
        <v>0.05</v>
      </c>
      <c r="L61" s="42">
        <f t="shared" si="7"/>
        <v>28.435000000000002</v>
      </c>
      <c r="M61" s="45">
        <f t="shared" si="8"/>
        <v>597.13499999999999</v>
      </c>
      <c r="N61" s="39">
        <v>0.85</v>
      </c>
      <c r="O61" s="42">
        <f t="shared" si="9"/>
        <v>483.39500000000004</v>
      </c>
      <c r="P61" s="42">
        <f t="shared" si="10"/>
        <v>1052.095</v>
      </c>
      <c r="Q61" s="39">
        <v>0.05</v>
      </c>
      <c r="R61" s="42">
        <f t="shared" si="11"/>
        <v>52.604750000000003</v>
      </c>
      <c r="S61" s="43">
        <f t="shared" si="12"/>
        <v>1104.69975</v>
      </c>
      <c r="T61" s="39">
        <v>0.84</v>
      </c>
      <c r="U61" s="42">
        <f t="shared" si="13"/>
        <v>406.05180000000001</v>
      </c>
      <c r="V61" s="42">
        <f>J61+U61</f>
        <v>974.7518</v>
      </c>
      <c r="W61" s="39">
        <v>0.05</v>
      </c>
      <c r="X61" s="42">
        <f t="shared" si="15"/>
        <v>48.737590000000004</v>
      </c>
      <c r="Y61" s="42">
        <f t="shared" si="16"/>
        <v>1023.48939</v>
      </c>
      <c r="Z61" s="39">
        <v>0.83</v>
      </c>
      <c r="AA61" s="42">
        <f t="shared" si="17"/>
        <v>472.02100000000002</v>
      </c>
      <c r="AB61" s="42">
        <f t="shared" si="18"/>
        <v>1040.721</v>
      </c>
      <c r="AC61" s="39">
        <v>0.05</v>
      </c>
      <c r="AD61" s="42">
        <f t="shared" si="19"/>
        <v>52.036050000000003</v>
      </c>
      <c r="AE61" s="42">
        <f t="shared" si="20"/>
        <v>1092.7570499999999</v>
      </c>
      <c r="AF61" s="39">
        <v>0.82</v>
      </c>
      <c r="AG61" s="42">
        <f t="shared" si="21"/>
        <v>466.334</v>
      </c>
      <c r="AH61" s="42">
        <f t="shared" si="22"/>
        <v>1035.0340000000001</v>
      </c>
      <c r="AI61" s="39">
        <v>0.05</v>
      </c>
      <c r="AJ61" s="42">
        <f t="shared" si="23"/>
        <v>51.751700000000007</v>
      </c>
      <c r="AK61" s="42">
        <f t="shared" si="24"/>
        <v>1086.7857000000001</v>
      </c>
      <c r="AL61" s="39">
        <v>0.76</v>
      </c>
      <c r="AM61" s="42">
        <f t="shared" si="25"/>
        <v>432.21200000000005</v>
      </c>
      <c r="AN61" s="42">
        <f t="shared" si="26"/>
        <v>1000.912</v>
      </c>
      <c r="AO61" s="39">
        <v>0.05</v>
      </c>
      <c r="AP61" s="42">
        <f t="shared" si="27"/>
        <v>50.045600000000007</v>
      </c>
      <c r="AQ61" s="42">
        <f t="shared" si="28"/>
        <v>1050.9576</v>
      </c>
      <c r="AR61" s="39">
        <v>0.7</v>
      </c>
      <c r="AS61" s="42">
        <f t="shared" si="29"/>
        <v>398.09000000000003</v>
      </c>
      <c r="AT61" s="42">
        <f t="shared" si="30"/>
        <v>966.79000000000008</v>
      </c>
      <c r="AU61" s="39">
        <v>0.05</v>
      </c>
      <c r="AV61" s="42">
        <f t="shared" si="31"/>
        <v>48.339500000000008</v>
      </c>
      <c r="AW61" s="42">
        <f t="shared" si="32"/>
        <v>1015.1295000000001</v>
      </c>
      <c r="AX61" s="39">
        <v>0.65</v>
      </c>
      <c r="AY61" s="42">
        <f t="shared" si="33"/>
        <v>369.65500000000003</v>
      </c>
      <c r="AZ61" s="42">
        <f t="shared" si="34"/>
        <v>938.35500000000002</v>
      </c>
      <c r="BA61" s="39">
        <v>0.05</v>
      </c>
      <c r="BB61" s="42">
        <f t="shared" si="35"/>
        <v>46.917750000000005</v>
      </c>
      <c r="BC61" s="42">
        <f t="shared" si="36"/>
        <v>985.27274999999997</v>
      </c>
      <c r="BD61" s="67">
        <v>0.35</v>
      </c>
      <c r="BE61" s="42">
        <f t="shared" si="37"/>
        <v>199.04500000000002</v>
      </c>
      <c r="BF61" s="42">
        <f t="shared" si="38"/>
        <v>767.74500000000012</v>
      </c>
      <c r="BG61" s="39">
        <v>0.05</v>
      </c>
      <c r="BH61" s="42">
        <f t="shared" si="39"/>
        <v>38.387250000000009</v>
      </c>
      <c r="BI61" s="42">
        <f t="shared" si="40"/>
        <v>806.13225000000011</v>
      </c>
      <c r="BN61" s="25">
        <f t="shared" si="54"/>
        <v>23.5</v>
      </c>
      <c r="BO61" s="19">
        <f t="shared" si="55"/>
        <v>493.5</v>
      </c>
      <c r="BP61" s="12">
        <f t="shared" si="43"/>
        <v>987</v>
      </c>
    </row>
    <row r="62" spans="2:68" x14ac:dyDescent="0.25">
      <c r="B62" s="13"/>
      <c r="C62" s="21"/>
      <c r="D62" s="27"/>
      <c r="E62" s="28"/>
      <c r="F62" s="26"/>
      <c r="G62" s="25"/>
      <c r="H62" s="41"/>
      <c r="I62" s="42"/>
      <c r="J62" s="43"/>
      <c r="K62" s="41"/>
      <c r="L62" s="42"/>
      <c r="M62" s="45"/>
      <c r="N62" s="39"/>
      <c r="O62" s="42"/>
      <c r="P62" s="42"/>
      <c r="Q62" s="39"/>
      <c r="R62" s="42"/>
      <c r="S62" s="43"/>
      <c r="T62" s="39"/>
      <c r="U62" s="42"/>
      <c r="V62" s="42"/>
      <c r="W62" s="39"/>
      <c r="X62" s="42"/>
      <c r="Y62" s="42"/>
      <c r="Z62" s="39"/>
      <c r="AA62" s="42"/>
      <c r="AB62" s="42"/>
      <c r="AC62" s="39"/>
      <c r="AD62" s="42"/>
      <c r="AE62" s="42"/>
      <c r="AF62" s="39"/>
      <c r="AG62" s="42"/>
      <c r="AH62" s="42"/>
      <c r="AI62" s="39"/>
      <c r="AJ62" s="42"/>
      <c r="AK62" s="42"/>
      <c r="AL62" s="39"/>
      <c r="AM62" s="42"/>
      <c r="AN62" s="42"/>
      <c r="AO62" s="39"/>
      <c r="AP62" s="42"/>
      <c r="AQ62" s="42"/>
      <c r="BN62" s="25"/>
      <c r="BO62" s="19"/>
      <c r="BP62" s="12"/>
    </row>
    <row r="63" spans="2:68" x14ac:dyDescent="0.25">
      <c r="B63" s="13"/>
      <c r="C63" s="21"/>
      <c r="D63" s="27"/>
      <c r="E63" s="28"/>
      <c r="F63" s="26"/>
      <c r="G63" s="25"/>
      <c r="H63" s="47" t="s">
        <v>93</v>
      </c>
      <c r="I63" s="52"/>
      <c r="J63" s="53" t="s">
        <v>94</v>
      </c>
      <c r="K63" s="47" t="s">
        <v>91</v>
      </c>
      <c r="L63" s="52"/>
      <c r="M63" s="54" t="s">
        <v>85</v>
      </c>
      <c r="N63" s="57" t="s">
        <v>95</v>
      </c>
      <c r="O63" s="56" t="s">
        <v>89</v>
      </c>
      <c r="P63" s="56" t="s">
        <v>90</v>
      </c>
      <c r="Q63" s="56" t="s">
        <v>91</v>
      </c>
      <c r="R63" s="56" t="s">
        <v>92</v>
      </c>
      <c r="S63" s="56" t="s">
        <v>85</v>
      </c>
      <c r="T63" s="50">
        <v>0.13</v>
      </c>
      <c r="U63" s="51" t="s">
        <v>89</v>
      </c>
      <c r="V63" s="51" t="s">
        <v>90</v>
      </c>
      <c r="W63" s="51" t="s">
        <v>91</v>
      </c>
      <c r="X63" s="51" t="s">
        <v>92</v>
      </c>
      <c r="Y63" s="51" t="s">
        <v>85</v>
      </c>
      <c r="Z63" s="55">
        <v>0.12</v>
      </c>
      <c r="AA63" s="56" t="s">
        <v>89</v>
      </c>
      <c r="AB63" s="56" t="s">
        <v>90</v>
      </c>
      <c r="AC63" s="56" t="s">
        <v>91</v>
      </c>
      <c r="AD63" s="56" t="s">
        <v>92</v>
      </c>
      <c r="AE63" s="56" t="s">
        <v>85</v>
      </c>
      <c r="AF63" s="39">
        <v>0.1</v>
      </c>
      <c r="AG63" s="42" t="s">
        <v>99</v>
      </c>
      <c r="AH63" s="42"/>
      <c r="AI63" s="39"/>
      <c r="AJ63" s="42"/>
      <c r="AK63" s="42"/>
      <c r="AL63" s="39"/>
      <c r="AM63" s="42"/>
      <c r="AN63" s="42"/>
      <c r="AO63" s="39"/>
      <c r="AP63" s="42"/>
      <c r="AQ63" s="42"/>
      <c r="BN63" s="25"/>
      <c r="BO63" s="19"/>
      <c r="BP63" s="12"/>
    </row>
    <row r="64" spans="2:68" x14ac:dyDescent="0.25">
      <c r="B64" s="13"/>
      <c r="C64" s="14" t="s">
        <v>56</v>
      </c>
      <c r="D64" s="15"/>
      <c r="E64" s="16"/>
      <c r="F64" s="17"/>
      <c r="G64" s="18"/>
      <c r="AF64" s="39">
        <v>0.1</v>
      </c>
      <c r="BN64" s="18"/>
      <c r="BO64" s="19"/>
      <c r="BP64" s="12">
        <f t="shared" ref="BP64:BP89" si="58">+F64*BO64</f>
        <v>0</v>
      </c>
    </row>
    <row r="65" spans="2:68" x14ac:dyDescent="0.25">
      <c r="B65" s="13">
        <f>B61+1</f>
        <v>46</v>
      </c>
      <c r="C65" s="17" t="s">
        <v>57</v>
      </c>
      <c r="D65" s="24">
        <v>1</v>
      </c>
      <c r="E65" s="24">
        <v>1</v>
      </c>
      <c r="F65" s="26">
        <f t="shared" ref="F65:F75" si="59">+D65+E65</f>
        <v>2</v>
      </c>
      <c r="G65" s="25">
        <v>110</v>
      </c>
      <c r="H65" s="41">
        <v>0.32</v>
      </c>
      <c r="I65" s="42">
        <f>G65*H65</f>
        <v>35.200000000000003</v>
      </c>
      <c r="J65" s="43">
        <f>G65+I65</f>
        <v>145.19999999999999</v>
      </c>
      <c r="K65" s="41">
        <v>0.05</v>
      </c>
      <c r="L65" s="42">
        <f>G65*K65</f>
        <v>5.5</v>
      </c>
      <c r="M65" s="45">
        <f>J65+L65</f>
        <v>150.69999999999999</v>
      </c>
      <c r="N65" s="39">
        <v>0.14000000000000001</v>
      </c>
      <c r="O65" s="42">
        <f>J65*N65</f>
        <v>20.327999999999999</v>
      </c>
      <c r="P65" s="42">
        <f>J65+O65</f>
        <v>165.52799999999999</v>
      </c>
      <c r="Q65" s="39">
        <v>0.05</v>
      </c>
      <c r="R65" s="42">
        <f>P65*Q65</f>
        <v>8.2764000000000006</v>
      </c>
      <c r="S65" s="42">
        <f>P65+R65</f>
        <v>173.80439999999999</v>
      </c>
      <c r="T65" s="39">
        <v>0.13</v>
      </c>
      <c r="U65" s="42">
        <f>J65*T65</f>
        <v>18.875999999999998</v>
      </c>
      <c r="V65" s="42">
        <f>J65+U65</f>
        <v>164.07599999999999</v>
      </c>
      <c r="W65" s="39">
        <v>0.05</v>
      </c>
      <c r="X65" s="42">
        <f>V65*W65</f>
        <v>8.2037999999999993</v>
      </c>
      <c r="Y65" s="42">
        <f>V65+X65</f>
        <v>172.27979999999999</v>
      </c>
      <c r="Z65" s="39">
        <v>0.12</v>
      </c>
      <c r="AA65" s="42">
        <f>J65*Z65</f>
        <v>17.423999999999999</v>
      </c>
      <c r="AB65" s="42">
        <f>J65+AA65</f>
        <v>162.624</v>
      </c>
      <c r="AC65" s="39">
        <v>0.05</v>
      </c>
      <c r="AD65" s="42">
        <f>AB65*AC65</f>
        <v>8.1311999999999998</v>
      </c>
      <c r="AE65" s="42">
        <f>AB65+AD65</f>
        <v>170.7552</v>
      </c>
      <c r="AF65" s="39">
        <v>0.1</v>
      </c>
      <c r="AG65" s="42">
        <f>J65*AF65</f>
        <v>14.52</v>
      </c>
      <c r="AH65" s="42">
        <f>J65+AG65</f>
        <v>159.72</v>
      </c>
      <c r="AI65" s="39">
        <v>0.05</v>
      </c>
      <c r="AK65" s="42">
        <f>AH65*AI65</f>
        <v>7.9860000000000007</v>
      </c>
      <c r="AL65" s="42">
        <f>AH65+AK65</f>
        <v>167.70599999999999</v>
      </c>
      <c r="BN65" s="25">
        <f t="shared" ref="BN65:BN75" si="60">+G65*5%</f>
        <v>5.5</v>
      </c>
      <c r="BO65" s="19">
        <f t="shared" ref="BO65:BO89" si="61">+G65+BN65</f>
        <v>115.5</v>
      </c>
      <c r="BP65" s="12">
        <f t="shared" si="58"/>
        <v>231</v>
      </c>
    </row>
    <row r="66" spans="2:68" x14ac:dyDescent="0.25">
      <c r="B66" s="13">
        <f>+B65+1</f>
        <v>47</v>
      </c>
      <c r="C66" s="17" t="s">
        <v>58</v>
      </c>
      <c r="D66" s="24">
        <v>1</v>
      </c>
      <c r="E66" s="24">
        <v>1</v>
      </c>
      <c r="F66" s="26">
        <f t="shared" si="59"/>
        <v>2</v>
      </c>
      <c r="G66" s="25">
        <v>110</v>
      </c>
      <c r="H66" s="41">
        <v>0.32</v>
      </c>
      <c r="I66" s="42">
        <f t="shared" ref="I66:I75" si="62">G66*H66</f>
        <v>35.200000000000003</v>
      </c>
      <c r="J66" s="43">
        <f t="shared" ref="J66:J75" si="63">G66+I66</f>
        <v>145.19999999999999</v>
      </c>
      <c r="K66" s="41">
        <v>0.05</v>
      </c>
      <c r="L66" s="42">
        <f t="shared" ref="L66:L75" si="64">G66*K66</f>
        <v>5.5</v>
      </c>
      <c r="M66" s="45">
        <f t="shared" ref="M66:M75" si="65">J66+L66</f>
        <v>150.69999999999999</v>
      </c>
      <c r="N66" s="39">
        <v>0.14000000000000001</v>
      </c>
      <c r="O66" s="42">
        <f t="shared" ref="O66:O75" si="66">J66*N66</f>
        <v>20.327999999999999</v>
      </c>
      <c r="P66" s="42">
        <f t="shared" ref="P66:P75" si="67">J66+O66</f>
        <v>165.52799999999999</v>
      </c>
      <c r="Q66" s="39">
        <v>0.05</v>
      </c>
      <c r="R66" s="42">
        <f t="shared" ref="R66:R75" si="68">P66*Q66</f>
        <v>8.2764000000000006</v>
      </c>
      <c r="S66" s="42">
        <f t="shared" ref="S66:S75" si="69">P66+R66</f>
        <v>173.80439999999999</v>
      </c>
      <c r="T66" s="39">
        <v>0.13</v>
      </c>
      <c r="U66" s="42">
        <f t="shared" ref="U66:U75" si="70">J66*T66</f>
        <v>18.875999999999998</v>
      </c>
      <c r="V66" s="42">
        <f>J66+U66</f>
        <v>164.07599999999999</v>
      </c>
      <c r="W66" s="39">
        <v>0.05</v>
      </c>
      <c r="X66" s="42">
        <f t="shared" ref="X66:X75" si="71">V66*W66</f>
        <v>8.2037999999999993</v>
      </c>
      <c r="Y66" s="42">
        <f t="shared" ref="Y66:Y75" si="72">V66+X66</f>
        <v>172.27979999999999</v>
      </c>
      <c r="Z66" s="39">
        <v>0.12</v>
      </c>
      <c r="AA66" s="42">
        <f t="shared" ref="AA66:AA74" si="73">J66*Z66</f>
        <v>17.423999999999999</v>
      </c>
      <c r="AB66" s="42">
        <f t="shared" ref="AB66:AB74" si="74">J66+AA66</f>
        <v>162.624</v>
      </c>
      <c r="AC66" s="39">
        <v>0.05</v>
      </c>
      <c r="AD66" s="42">
        <f t="shared" ref="AD66:AD75" si="75">AB66*AC66</f>
        <v>8.1311999999999998</v>
      </c>
      <c r="AE66" s="42">
        <f t="shared" ref="AE66:AE75" si="76">AB66+AD66</f>
        <v>170.7552</v>
      </c>
      <c r="AF66" s="39">
        <v>0.1</v>
      </c>
      <c r="AG66" s="42">
        <f t="shared" ref="AG66:AG75" si="77">J66*AF66</f>
        <v>14.52</v>
      </c>
      <c r="AH66" s="42">
        <f t="shared" ref="AH66:AH75" si="78">J66+AG66</f>
        <v>159.72</v>
      </c>
      <c r="AI66" s="39">
        <v>0.05</v>
      </c>
      <c r="AK66" s="42">
        <f t="shared" ref="AK66:AK89" si="79">AH66*AI66</f>
        <v>7.9860000000000007</v>
      </c>
      <c r="AL66" s="42">
        <f t="shared" ref="AL66:AL89" si="80">AH66+AK66</f>
        <v>167.70599999999999</v>
      </c>
      <c r="BN66" s="25">
        <f t="shared" si="60"/>
        <v>5.5</v>
      </c>
      <c r="BO66" s="19">
        <f t="shared" si="61"/>
        <v>115.5</v>
      </c>
      <c r="BP66" s="12">
        <f t="shared" si="58"/>
        <v>231</v>
      </c>
    </row>
    <row r="67" spans="2:68" x14ac:dyDescent="0.25">
      <c r="B67" s="13">
        <f t="shared" ref="B67:B75" si="81">+B66+1</f>
        <v>48</v>
      </c>
      <c r="C67" s="17" t="s">
        <v>59</v>
      </c>
      <c r="D67" s="24">
        <v>1</v>
      </c>
      <c r="E67" s="24">
        <v>1</v>
      </c>
      <c r="F67" s="26">
        <f t="shared" si="59"/>
        <v>2</v>
      </c>
      <c r="G67" s="25">
        <v>110</v>
      </c>
      <c r="H67" s="41">
        <v>0.32</v>
      </c>
      <c r="I67" s="42">
        <f t="shared" si="62"/>
        <v>35.200000000000003</v>
      </c>
      <c r="J67" s="43">
        <f t="shared" si="63"/>
        <v>145.19999999999999</v>
      </c>
      <c r="K67" s="41">
        <v>0.05</v>
      </c>
      <c r="L67" s="42">
        <f t="shared" si="64"/>
        <v>5.5</v>
      </c>
      <c r="M67" s="45">
        <f t="shared" si="65"/>
        <v>150.69999999999999</v>
      </c>
      <c r="N67" s="39">
        <v>0.14000000000000001</v>
      </c>
      <c r="O67" s="42">
        <f t="shared" si="66"/>
        <v>20.327999999999999</v>
      </c>
      <c r="P67" s="42">
        <f t="shared" si="67"/>
        <v>165.52799999999999</v>
      </c>
      <c r="Q67" s="39">
        <v>0.05</v>
      </c>
      <c r="R67" s="42">
        <f t="shared" si="68"/>
        <v>8.2764000000000006</v>
      </c>
      <c r="S67" s="42">
        <f t="shared" si="69"/>
        <v>173.80439999999999</v>
      </c>
      <c r="T67" s="39">
        <v>0.13</v>
      </c>
      <c r="U67" s="42">
        <f t="shared" si="70"/>
        <v>18.875999999999998</v>
      </c>
      <c r="V67" s="42">
        <f t="shared" ref="V67:V75" si="82">J67+U67</f>
        <v>164.07599999999999</v>
      </c>
      <c r="W67" s="39">
        <v>0.05</v>
      </c>
      <c r="X67" s="42">
        <f t="shared" si="71"/>
        <v>8.2037999999999993</v>
      </c>
      <c r="Y67" s="42">
        <f t="shared" si="72"/>
        <v>172.27979999999999</v>
      </c>
      <c r="Z67" s="39">
        <v>0.12</v>
      </c>
      <c r="AA67" s="42">
        <f t="shared" si="73"/>
        <v>17.423999999999999</v>
      </c>
      <c r="AB67" s="42">
        <f t="shared" si="74"/>
        <v>162.624</v>
      </c>
      <c r="AC67" s="39">
        <v>0.05</v>
      </c>
      <c r="AD67" s="42">
        <f t="shared" si="75"/>
        <v>8.1311999999999998</v>
      </c>
      <c r="AE67" s="42">
        <f t="shared" si="76"/>
        <v>170.7552</v>
      </c>
      <c r="AF67" s="39">
        <v>0.1</v>
      </c>
      <c r="AG67" s="42">
        <f t="shared" si="77"/>
        <v>14.52</v>
      </c>
      <c r="AH67" s="42">
        <f t="shared" si="78"/>
        <v>159.72</v>
      </c>
      <c r="AI67" s="39">
        <v>0.05</v>
      </c>
      <c r="AK67" s="42">
        <f t="shared" si="79"/>
        <v>7.9860000000000007</v>
      </c>
      <c r="AL67" s="42">
        <f t="shared" si="80"/>
        <v>167.70599999999999</v>
      </c>
      <c r="BN67" s="25">
        <f t="shared" si="60"/>
        <v>5.5</v>
      </c>
      <c r="BO67" s="19">
        <f t="shared" si="61"/>
        <v>115.5</v>
      </c>
      <c r="BP67" s="12">
        <f t="shared" si="58"/>
        <v>231</v>
      </c>
    </row>
    <row r="68" spans="2:68" x14ac:dyDescent="0.25">
      <c r="B68" s="13">
        <f t="shared" si="81"/>
        <v>49</v>
      </c>
      <c r="C68" s="17" t="s">
        <v>60</v>
      </c>
      <c r="D68" s="24">
        <v>1</v>
      </c>
      <c r="E68" s="24">
        <v>1</v>
      </c>
      <c r="F68" s="26">
        <f t="shared" si="59"/>
        <v>2</v>
      </c>
      <c r="G68" s="25">
        <v>110</v>
      </c>
      <c r="H68" s="41">
        <v>0.32</v>
      </c>
      <c r="I68" s="42">
        <f t="shared" si="62"/>
        <v>35.200000000000003</v>
      </c>
      <c r="J68" s="43">
        <f t="shared" si="63"/>
        <v>145.19999999999999</v>
      </c>
      <c r="K68" s="41">
        <v>0.05</v>
      </c>
      <c r="L68" s="42">
        <f t="shared" si="64"/>
        <v>5.5</v>
      </c>
      <c r="M68" s="45">
        <f t="shared" si="65"/>
        <v>150.69999999999999</v>
      </c>
      <c r="N68" s="39">
        <v>0.14000000000000001</v>
      </c>
      <c r="O68" s="42">
        <f t="shared" si="66"/>
        <v>20.327999999999999</v>
      </c>
      <c r="P68" s="42">
        <f t="shared" si="67"/>
        <v>165.52799999999999</v>
      </c>
      <c r="Q68" s="39">
        <v>0.05</v>
      </c>
      <c r="R68" s="42">
        <f t="shared" si="68"/>
        <v>8.2764000000000006</v>
      </c>
      <c r="S68" s="42">
        <f t="shared" si="69"/>
        <v>173.80439999999999</v>
      </c>
      <c r="T68" s="39">
        <v>0.13</v>
      </c>
      <c r="U68" s="42">
        <f t="shared" si="70"/>
        <v>18.875999999999998</v>
      </c>
      <c r="V68" s="42">
        <f t="shared" si="82"/>
        <v>164.07599999999999</v>
      </c>
      <c r="W68" s="39">
        <v>0.05</v>
      </c>
      <c r="X68" s="42">
        <f t="shared" si="71"/>
        <v>8.2037999999999993</v>
      </c>
      <c r="Y68" s="42">
        <f t="shared" si="72"/>
        <v>172.27979999999999</v>
      </c>
      <c r="Z68" s="39">
        <v>0.12</v>
      </c>
      <c r="AA68" s="42">
        <f t="shared" si="73"/>
        <v>17.423999999999999</v>
      </c>
      <c r="AB68" s="42">
        <f t="shared" si="74"/>
        <v>162.624</v>
      </c>
      <c r="AC68" s="39">
        <v>0.05</v>
      </c>
      <c r="AD68" s="42">
        <f t="shared" si="75"/>
        <v>8.1311999999999998</v>
      </c>
      <c r="AE68" s="42">
        <f t="shared" si="76"/>
        <v>170.7552</v>
      </c>
      <c r="AF68" s="39">
        <v>0.1</v>
      </c>
      <c r="AG68" s="42">
        <f t="shared" si="77"/>
        <v>14.52</v>
      </c>
      <c r="AH68" s="42">
        <f t="shared" si="78"/>
        <v>159.72</v>
      </c>
      <c r="AI68" s="39">
        <v>0.05</v>
      </c>
      <c r="AK68" s="42">
        <f t="shared" si="79"/>
        <v>7.9860000000000007</v>
      </c>
      <c r="AL68" s="42">
        <f t="shared" si="80"/>
        <v>167.70599999999999</v>
      </c>
      <c r="BN68" s="25">
        <f t="shared" si="60"/>
        <v>5.5</v>
      </c>
      <c r="BO68" s="19">
        <f t="shared" si="61"/>
        <v>115.5</v>
      </c>
      <c r="BP68" s="12">
        <f t="shared" si="58"/>
        <v>231</v>
      </c>
    </row>
    <row r="69" spans="2:68" x14ac:dyDescent="0.25">
      <c r="B69" s="13">
        <f t="shared" si="81"/>
        <v>50</v>
      </c>
      <c r="C69" s="17" t="s">
        <v>61</v>
      </c>
      <c r="D69" s="24">
        <v>1</v>
      </c>
      <c r="E69" s="24">
        <v>1</v>
      </c>
      <c r="F69" s="26">
        <f t="shared" si="59"/>
        <v>2</v>
      </c>
      <c r="G69" s="25">
        <v>110</v>
      </c>
      <c r="H69" s="41">
        <v>0.32</v>
      </c>
      <c r="I69" s="42">
        <f t="shared" si="62"/>
        <v>35.200000000000003</v>
      </c>
      <c r="J69" s="43">
        <f t="shared" si="63"/>
        <v>145.19999999999999</v>
      </c>
      <c r="K69" s="41">
        <v>0.05</v>
      </c>
      <c r="L69" s="42">
        <f t="shared" si="64"/>
        <v>5.5</v>
      </c>
      <c r="M69" s="45">
        <f t="shared" si="65"/>
        <v>150.69999999999999</v>
      </c>
      <c r="N69" s="39">
        <v>0.14000000000000001</v>
      </c>
      <c r="O69" s="42">
        <f t="shared" si="66"/>
        <v>20.327999999999999</v>
      </c>
      <c r="P69" s="42">
        <f t="shared" si="67"/>
        <v>165.52799999999999</v>
      </c>
      <c r="Q69" s="39">
        <v>0.05</v>
      </c>
      <c r="R69" s="42">
        <f t="shared" si="68"/>
        <v>8.2764000000000006</v>
      </c>
      <c r="S69" s="42">
        <f t="shared" si="69"/>
        <v>173.80439999999999</v>
      </c>
      <c r="T69" s="39">
        <v>0.13</v>
      </c>
      <c r="U69" s="42">
        <f t="shared" si="70"/>
        <v>18.875999999999998</v>
      </c>
      <c r="V69" s="42">
        <f t="shared" si="82"/>
        <v>164.07599999999999</v>
      </c>
      <c r="W69" s="39">
        <v>0.05</v>
      </c>
      <c r="X69" s="42">
        <f t="shared" si="71"/>
        <v>8.2037999999999993</v>
      </c>
      <c r="Y69" s="42">
        <f t="shared" si="72"/>
        <v>172.27979999999999</v>
      </c>
      <c r="Z69" s="39">
        <v>0.12</v>
      </c>
      <c r="AA69" s="42">
        <f t="shared" si="73"/>
        <v>17.423999999999999</v>
      </c>
      <c r="AB69" s="42">
        <f t="shared" si="74"/>
        <v>162.624</v>
      </c>
      <c r="AC69" s="39">
        <v>0.05</v>
      </c>
      <c r="AD69" s="42">
        <f t="shared" si="75"/>
        <v>8.1311999999999998</v>
      </c>
      <c r="AE69" s="42">
        <f t="shared" si="76"/>
        <v>170.7552</v>
      </c>
      <c r="AF69" s="39">
        <v>0.1</v>
      </c>
      <c r="AG69" s="42">
        <f t="shared" si="77"/>
        <v>14.52</v>
      </c>
      <c r="AH69" s="42">
        <f t="shared" si="78"/>
        <v>159.72</v>
      </c>
      <c r="AI69" s="39">
        <v>0.05</v>
      </c>
      <c r="AK69" s="42">
        <f t="shared" si="79"/>
        <v>7.9860000000000007</v>
      </c>
      <c r="AL69" s="42">
        <f t="shared" si="80"/>
        <v>167.70599999999999</v>
      </c>
      <c r="BN69" s="25">
        <f t="shared" si="60"/>
        <v>5.5</v>
      </c>
      <c r="BO69" s="19">
        <f t="shared" si="61"/>
        <v>115.5</v>
      </c>
      <c r="BP69" s="12">
        <f t="shared" si="58"/>
        <v>231</v>
      </c>
    </row>
    <row r="70" spans="2:68" x14ac:dyDescent="0.25">
      <c r="B70" s="13">
        <f t="shared" si="81"/>
        <v>51</v>
      </c>
      <c r="C70" s="17" t="s">
        <v>62</v>
      </c>
      <c r="D70" s="24">
        <v>1</v>
      </c>
      <c r="E70" s="24">
        <v>1</v>
      </c>
      <c r="F70" s="26">
        <f t="shared" si="59"/>
        <v>2</v>
      </c>
      <c r="G70" s="25">
        <v>110</v>
      </c>
      <c r="H70" s="41">
        <v>0.32</v>
      </c>
      <c r="I70" s="42">
        <f t="shared" si="62"/>
        <v>35.200000000000003</v>
      </c>
      <c r="J70" s="43">
        <f t="shared" si="63"/>
        <v>145.19999999999999</v>
      </c>
      <c r="K70" s="41">
        <v>0.05</v>
      </c>
      <c r="L70" s="42">
        <f t="shared" si="64"/>
        <v>5.5</v>
      </c>
      <c r="M70" s="45">
        <f t="shared" si="65"/>
        <v>150.69999999999999</v>
      </c>
      <c r="N70" s="39">
        <v>0.14000000000000001</v>
      </c>
      <c r="O70" s="42">
        <f t="shared" si="66"/>
        <v>20.327999999999999</v>
      </c>
      <c r="P70" s="42">
        <f t="shared" si="67"/>
        <v>165.52799999999999</v>
      </c>
      <c r="Q70" s="39">
        <v>0.05</v>
      </c>
      <c r="R70" s="42">
        <f t="shared" si="68"/>
        <v>8.2764000000000006</v>
      </c>
      <c r="S70" s="42">
        <f t="shared" si="69"/>
        <v>173.80439999999999</v>
      </c>
      <c r="T70" s="39">
        <v>0.13</v>
      </c>
      <c r="U70" s="42">
        <f t="shared" si="70"/>
        <v>18.875999999999998</v>
      </c>
      <c r="V70" s="42">
        <f t="shared" si="82"/>
        <v>164.07599999999999</v>
      </c>
      <c r="W70" s="39">
        <v>0.05</v>
      </c>
      <c r="X70" s="42">
        <f t="shared" si="71"/>
        <v>8.2037999999999993</v>
      </c>
      <c r="Y70" s="42">
        <f t="shared" si="72"/>
        <v>172.27979999999999</v>
      </c>
      <c r="Z70" s="39">
        <v>0.12</v>
      </c>
      <c r="AA70" s="42">
        <f t="shared" si="73"/>
        <v>17.423999999999999</v>
      </c>
      <c r="AB70" s="42">
        <f t="shared" si="74"/>
        <v>162.624</v>
      </c>
      <c r="AC70" s="39">
        <v>0.05</v>
      </c>
      <c r="AD70" s="42">
        <f t="shared" si="75"/>
        <v>8.1311999999999998</v>
      </c>
      <c r="AE70" s="42">
        <f t="shared" si="76"/>
        <v>170.7552</v>
      </c>
      <c r="AF70" s="39">
        <v>0.1</v>
      </c>
      <c r="AG70" s="42">
        <f t="shared" si="77"/>
        <v>14.52</v>
      </c>
      <c r="AH70" s="42">
        <f t="shared" si="78"/>
        <v>159.72</v>
      </c>
      <c r="AI70" s="39">
        <v>0.05</v>
      </c>
      <c r="AK70" s="42">
        <f t="shared" si="79"/>
        <v>7.9860000000000007</v>
      </c>
      <c r="AL70" s="42">
        <f t="shared" si="80"/>
        <v>167.70599999999999</v>
      </c>
      <c r="BN70" s="25">
        <f t="shared" si="60"/>
        <v>5.5</v>
      </c>
      <c r="BO70" s="19">
        <f t="shared" si="61"/>
        <v>115.5</v>
      </c>
      <c r="BP70" s="12">
        <f t="shared" si="58"/>
        <v>231</v>
      </c>
    </row>
    <row r="71" spans="2:68" x14ac:dyDescent="0.25">
      <c r="B71" s="13">
        <f t="shared" si="81"/>
        <v>52</v>
      </c>
      <c r="C71" s="17" t="s">
        <v>63</v>
      </c>
      <c r="D71" s="24">
        <v>1</v>
      </c>
      <c r="E71" s="24">
        <v>1</v>
      </c>
      <c r="F71" s="26">
        <f t="shared" si="59"/>
        <v>2</v>
      </c>
      <c r="G71" s="25">
        <v>110</v>
      </c>
      <c r="H71" s="41">
        <v>0.32</v>
      </c>
      <c r="I71" s="42">
        <f t="shared" si="62"/>
        <v>35.200000000000003</v>
      </c>
      <c r="J71" s="43">
        <f t="shared" si="63"/>
        <v>145.19999999999999</v>
      </c>
      <c r="K71" s="41">
        <v>0.05</v>
      </c>
      <c r="L71" s="42">
        <f t="shared" si="64"/>
        <v>5.5</v>
      </c>
      <c r="M71" s="45">
        <f t="shared" si="65"/>
        <v>150.69999999999999</v>
      </c>
      <c r="N71" s="39">
        <v>0.14000000000000001</v>
      </c>
      <c r="O71" s="42">
        <f t="shared" si="66"/>
        <v>20.327999999999999</v>
      </c>
      <c r="P71" s="42">
        <f t="shared" si="67"/>
        <v>165.52799999999999</v>
      </c>
      <c r="Q71" s="39">
        <v>0.05</v>
      </c>
      <c r="R71" s="42">
        <f t="shared" si="68"/>
        <v>8.2764000000000006</v>
      </c>
      <c r="S71" s="42">
        <f t="shared" si="69"/>
        <v>173.80439999999999</v>
      </c>
      <c r="T71" s="39">
        <v>0.13</v>
      </c>
      <c r="U71" s="42">
        <f t="shared" si="70"/>
        <v>18.875999999999998</v>
      </c>
      <c r="V71" s="42">
        <f t="shared" si="82"/>
        <v>164.07599999999999</v>
      </c>
      <c r="W71" s="39">
        <v>0.05</v>
      </c>
      <c r="X71" s="42">
        <f t="shared" si="71"/>
        <v>8.2037999999999993</v>
      </c>
      <c r="Y71" s="42">
        <f t="shared" si="72"/>
        <v>172.27979999999999</v>
      </c>
      <c r="Z71" s="39">
        <v>0.12</v>
      </c>
      <c r="AA71" s="42">
        <f t="shared" si="73"/>
        <v>17.423999999999999</v>
      </c>
      <c r="AB71" s="42">
        <f t="shared" si="74"/>
        <v>162.624</v>
      </c>
      <c r="AC71" s="39">
        <v>0.05</v>
      </c>
      <c r="AD71" s="42">
        <f t="shared" si="75"/>
        <v>8.1311999999999998</v>
      </c>
      <c r="AE71" s="42">
        <f t="shared" si="76"/>
        <v>170.7552</v>
      </c>
      <c r="AF71" s="39">
        <v>0.1</v>
      </c>
      <c r="AG71" s="42">
        <f t="shared" si="77"/>
        <v>14.52</v>
      </c>
      <c r="AH71" s="42">
        <f t="shared" si="78"/>
        <v>159.72</v>
      </c>
      <c r="AI71" s="39">
        <v>0.05</v>
      </c>
      <c r="AK71" s="42">
        <f t="shared" si="79"/>
        <v>7.9860000000000007</v>
      </c>
      <c r="AL71" s="42">
        <f t="shared" si="80"/>
        <v>167.70599999999999</v>
      </c>
      <c r="BN71" s="25">
        <f t="shared" si="60"/>
        <v>5.5</v>
      </c>
      <c r="BO71" s="19">
        <f t="shared" si="61"/>
        <v>115.5</v>
      </c>
      <c r="BP71" s="12">
        <f t="shared" si="58"/>
        <v>231</v>
      </c>
    </row>
    <row r="72" spans="2:68" x14ac:dyDescent="0.25">
      <c r="B72" s="13">
        <f t="shared" si="81"/>
        <v>53</v>
      </c>
      <c r="C72" s="17" t="s">
        <v>64</v>
      </c>
      <c r="D72" s="24">
        <v>1</v>
      </c>
      <c r="E72" s="24">
        <v>1</v>
      </c>
      <c r="F72" s="26">
        <f t="shared" si="59"/>
        <v>2</v>
      </c>
      <c r="G72" s="25">
        <v>110</v>
      </c>
      <c r="H72" s="41">
        <v>0.32</v>
      </c>
      <c r="I72" s="42">
        <f t="shared" si="62"/>
        <v>35.200000000000003</v>
      </c>
      <c r="J72" s="43">
        <f t="shared" si="63"/>
        <v>145.19999999999999</v>
      </c>
      <c r="K72" s="41">
        <v>0.05</v>
      </c>
      <c r="L72" s="42">
        <f t="shared" si="64"/>
        <v>5.5</v>
      </c>
      <c r="M72" s="45">
        <f t="shared" si="65"/>
        <v>150.69999999999999</v>
      </c>
      <c r="N72" s="39">
        <v>0.14000000000000001</v>
      </c>
      <c r="O72" s="42">
        <f t="shared" si="66"/>
        <v>20.327999999999999</v>
      </c>
      <c r="P72" s="42">
        <f t="shared" si="67"/>
        <v>165.52799999999999</v>
      </c>
      <c r="Q72" s="39">
        <v>0.05</v>
      </c>
      <c r="R72" s="42">
        <f t="shared" si="68"/>
        <v>8.2764000000000006</v>
      </c>
      <c r="S72" s="42">
        <f t="shared" si="69"/>
        <v>173.80439999999999</v>
      </c>
      <c r="T72" s="39">
        <v>0.13</v>
      </c>
      <c r="U72" s="42">
        <f t="shared" si="70"/>
        <v>18.875999999999998</v>
      </c>
      <c r="V72" s="42">
        <f t="shared" si="82"/>
        <v>164.07599999999999</v>
      </c>
      <c r="W72" s="39">
        <v>0.05</v>
      </c>
      <c r="X72" s="42">
        <f t="shared" si="71"/>
        <v>8.2037999999999993</v>
      </c>
      <c r="Y72" s="42">
        <f t="shared" si="72"/>
        <v>172.27979999999999</v>
      </c>
      <c r="Z72" s="39">
        <v>0.12</v>
      </c>
      <c r="AA72" s="42">
        <f t="shared" si="73"/>
        <v>17.423999999999999</v>
      </c>
      <c r="AB72" s="42">
        <f t="shared" si="74"/>
        <v>162.624</v>
      </c>
      <c r="AC72" s="39">
        <v>0.05</v>
      </c>
      <c r="AD72" s="42">
        <f t="shared" si="75"/>
        <v>8.1311999999999998</v>
      </c>
      <c r="AE72" s="42">
        <f t="shared" si="76"/>
        <v>170.7552</v>
      </c>
      <c r="AF72" s="39">
        <v>0.1</v>
      </c>
      <c r="AG72" s="42">
        <f t="shared" si="77"/>
        <v>14.52</v>
      </c>
      <c r="AH72" s="42">
        <f t="shared" si="78"/>
        <v>159.72</v>
      </c>
      <c r="AI72" s="39">
        <v>0.05</v>
      </c>
      <c r="AK72" s="42">
        <f t="shared" si="79"/>
        <v>7.9860000000000007</v>
      </c>
      <c r="AL72" s="42">
        <f t="shared" si="80"/>
        <v>167.70599999999999</v>
      </c>
      <c r="BN72" s="25">
        <f t="shared" si="60"/>
        <v>5.5</v>
      </c>
      <c r="BO72" s="19">
        <f t="shared" si="61"/>
        <v>115.5</v>
      </c>
      <c r="BP72" s="12">
        <f t="shared" si="58"/>
        <v>231</v>
      </c>
    </row>
    <row r="73" spans="2:68" x14ac:dyDescent="0.25">
      <c r="B73" s="13">
        <f t="shared" si="81"/>
        <v>54</v>
      </c>
      <c r="C73" s="17" t="s">
        <v>65</v>
      </c>
      <c r="D73" s="24">
        <v>1</v>
      </c>
      <c r="E73" s="24">
        <v>1</v>
      </c>
      <c r="F73" s="26">
        <f t="shared" si="59"/>
        <v>2</v>
      </c>
      <c r="G73" s="25">
        <v>110</v>
      </c>
      <c r="H73" s="41">
        <v>0.32</v>
      </c>
      <c r="I73" s="42">
        <f t="shared" si="62"/>
        <v>35.200000000000003</v>
      </c>
      <c r="J73" s="43">
        <f t="shared" si="63"/>
        <v>145.19999999999999</v>
      </c>
      <c r="K73" s="41">
        <v>0.05</v>
      </c>
      <c r="L73" s="42">
        <f t="shared" si="64"/>
        <v>5.5</v>
      </c>
      <c r="M73" s="45">
        <f t="shared" si="65"/>
        <v>150.69999999999999</v>
      </c>
      <c r="N73" s="39">
        <v>0.14000000000000001</v>
      </c>
      <c r="O73" s="42">
        <f t="shared" si="66"/>
        <v>20.327999999999999</v>
      </c>
      <c r="P73" s="42">
        <f t="shared" si="67"/>
        <v>165.52799999999999</v>
      </c>
      <c r="Q73" s="39">
        <v>0.05</v>
      </c>
      <c r="R73" s="42">
        <f t="shared" si="68"/>
        <v>8.2764000000000006</v>
      </c>
      <c r="S73" s="42">
        <f t="shared" si="69"/>
        <v>173.80439999999999</v>
      </c>
      <c r="T73" s="39">
        <v>0.13</v>
      </c>
      <c r="U73" s="42">
        <f t="shared" si="70"/>
        <v>18.875999999999998</v>
      </c>
      <c r="V73" s="42">
        <f t="shared" si="82"/>
        <v>164.07599999999999</v>
      </c>
      <c r="W73" s="39">
        <v>0.05</v>
      </c>
      <c r="X73" s="42">
        <f t="shared" si="71"/>
        <v>8.2037999999999993</v>
      </c>
      <c r="Y73" s="42">
        <f t="shared" si="72"/>
        <v>172.27979999999999</v>
      </c>
      <c r="Z73" s="39">
        <v>0.12</v>
      </c>
      <c r="AA73" s="42">
        <f t="shared" si="73"/>
        <v>17.423999999999999</v>
      </c>
      <c r="AB73" s="42">
        <f t="shared" si="74"/>
        <v>162.624</v>
      </c>
      <c r="AC73" s="39">
        <v>0.05</v>
      </c>
      <c r="AD73" s="42">
        <f t="shared" si="75"/>
        <v>8.1311999999999998</v>
      </c>
      <c r="AE73" s="42">
        <f t="shared" si="76"/>
        <v>170.7552</v>
      </c>
      <c r="AF73" s="39">
        <v>0.1</v>
      </c>
      <c r="AG73" s="42">
        <f t="shared" si="77"/>
        <v>14.52</v>
      </c>
      <c r="AH73" s="42">
        <f t="shared" si="78"/>
        <v>159.72</v>
      </c>
      <c r="AI73" s="39">
        <v>0.05</v>
      </c>
      <c r="AK73" s="42">
        <f t="shared" si="79"/>
        <v>7.9860000000000007</v>
      </c>
      <c r="AL73" s="42">
        <f t="shared" si="80"/>
        <v>167.70599999999999</v>
      </c>
      <c r="BN73" s="25">
        <f t="shared" si="60"/>
        <v>5.5</v>
      </c>
      <c r="BO73" s="19">
        <f t="shared" si="61"/>
        <v>115.5</v>
      </c>
      <c r="BP73" s="12">
        <f t="shared" si="58"/>
        <v>231</v>
      </c>
    </row>
    <row r="74" spans="2:68" x14ac:dyDescent="0.25">
      <c r="B74" s="13">
        <f t="shared" si="81"/>
        <v>55</v>
      </c>
      <c r="C74" s="17" t="s">
        <v>66</v>
      </c>
      <c r="D74" s="24">
        <v>1</v>
      </c>
      <c r="E74" s="24">
        <v>1</v>
      </c>
      <c r="F74" s="26">
        <f t="shared" si="59"/>
        <v>2</v>
      </c>
      <c r="G74" s="25">
        <v>110</v>
      </c>
      <c r="H74" s="41">
        <v>0.32</v>
      </c>
      <c r="I74" s="42">
        <f t="shared" si="62"/>
        <v>35.200000000000003</v>
      </c>
      <c r="J74" s="43">
        <f t="shared" si="63"/>
        <v>145.19999999999999</v>
      </c>
      <c r="K74" s="41">
        <v>0.05</v>
      </c>
      <c r="L74" s="42">
        <f t="shared" si="64"/>
        <v>5.5</v>
      </c>
      <c r="M74" s="45">
        <f t="shared" si="65"/>
        <v>150.69999999999999</v>
      </c>
      <c r="N74" s="39">
        <v>0.14000000000000001</v>
      </c>
      <c r="O74" s="42">
        <f t="shared" si="66"/>
        <v>20.327999999999999</v>
      </c>
      <c r="P74" s="42">
        <f t="shared" si="67"/>
        <v>165.52799999999999</v>
      </c>
      <c r="Q74" s="39">
        <v>0.05</v>
      </c>
      <c r="R74" s="42">
        <f t="shared" si="68"/>
        <v>8.2764000000000006</v>
      </c>
      <c r="S74" s="42">
        <f t="shared" si="69"/>
        <v>173.80439999999999</v>
      </c>
      <c r="T74" s="39">
        <v>0.13</v>
      </c>
      <c r="U74" s="42">
        <f t="shared" si="70"/>
        <v>18.875999999999998</v>
      </c>
      <c r="V74" s="42">
        <f t="shared" si="82"/>
        <v>164.07599999999999</v>
      </c>
      <c r="W74" s="39">
        <v>0.05</v>
      </c>
      <c r="X74" s="42">
        <f t="shared" si="71"/>
        <v>8.2037999999999993</v>
      </c>
      <c r="Y74" s="42">
        <f t="shared" si="72"/>
        <v>172.27979999999999</v>
      </c>
      <c r="Z74" s="39">
        <v>0.12</v>
      </c>
      <c r="AA74" s="42">
        <f t="shared" si="73"/>
        <v>17.423999999999999</v>
      </c>
      <c r="AB74" s="42">
        <f t="shared" si="74"/>
        <v>162.624</v>
      </c>
      <c r="AC74" s="39">
        <v>0.05</v>
      </c>
      <c r="AD74" s="42">
        <f t="shared" si="75"/>
        <v>8.1311999999999998</v>
      </c>
      <c r="AE74" s="42">
        <f t="shared" si="76"/>
        <v>170.7552</v>
      </c>
      <c r="AF74" s="39">
        <v>0.1</v>
      </c>
      <c r="AG74" s="42">
        <f t="shared" si="77"/>
        <v>14.52</v>
      </c>
      <c r="AH74" s="42">
        <f t="shared" si="78"/>
        <v>159.72</v>
      </c>
      <c r="AI74" s="39">
        <v>0.05</v>
      </c>
      <c r="AK74" s="42">
        <f t="shared" si="79"/>
        <v>7.9860000000000007</v>
      </c>
      <c r="AL74" s="42">
        <f t="shared" si="80"/>
        <v>167.70599999999999</v>
      </c>
      <c r="BN74" s="25">
        <f t="shared" si="60"/>
        <v>5.5</v>
      </c>
      <c r="BO74" s="19">
        <f t="shared" si="61"/>
        <v>115.5</v>
      </c>
      <c r="BP74" s="12">
        <f t="shared" si="58"/>
        <v>231</v>
      </c>
    </row>
    <row r="75" spans="2:68" x14ac:dyDescent="0.25">
      <c r="B75" s="13">
        <f t="shared" si="81"/>
        <v>56</v>
      </c>
      <c r="C75" s="17" t="s">
        <v>67</v>
      </c>
      <c r="D75" s="24">
        <v>1</v>
      </c>
      <c r="E75" s="24">
        <v>1</v>
      </c>
      <c r="F75" s="26">
        <f t="shared" si="59"/>
        <v>2</v>
      </c>
      <c r="G75" s="25">
        <v>110</v>
      </c>
      <c r="H75" s="41">
        <v>0.32</v>
      </c>
      <c r="I75" s="42">
        <f t="shared" si="62"/>
        <v>35.200000000000003</v>
      </c>
      <c r="J75" s="43">
        <f t="shared" si="63"/>
        <v>145.19999999999999</v>
      </c>
      <c r="K75" s="41">
        <v>0.05</v>
      </c>
      <c r="L75" s="42">
        <f t="shared" si="64"/>
        <v>5.5</v>
      </c>
      <c r="M75" s="45">
        <f t="shared" si="65"/>
        <v>150.69999999999999</v>
      </c>
      <c r="N75" s="39">
        <v>0.14000000000000001</v>
      </c>
      <c r="O75" s="42">
        <f t="shared" si="66"/>
        <v>20.327999999999999</v>
      </c>
      <c r="P75" s="42">
        <f t="shared" si="67"/>
        <v>165.52799999999999</v>
      </c>
      <c r="Q75" s="39">
        <v>0.05</v>
      </c>
      <c r="R75" s="42">
        <f t="shared" si="68"/>
        <v>8.2764000000000006</v>
      </c>
      <c r="S75" s="42">
        <f t="shared" si="69"/>
        <v>173.80439999999999</v>
      </c>
      <c r="T75" s="39">
        <v>0.13</v>
      </c>
      <c r="U75" s="42">
        <f t="shared" si="70"/>
        <v>18.875999999999998</v>
      </c>
      <c r="V75" s="42">
        <f t="shared" si="82"/>
        <v>164.07599999999999</v>
      </c>
      <c r="W75" s="39">
        <v>0.05</v>
      </c>
      <c r="X75" s="42">
        <f t="shared" si="71"/>
        <v>8.2037999999999993</v>
      </c>
      <c r="Y75" s="42">
        <f t="shared" si="72"/>
        <v>172.27979999999999</v>
      </c>
      <c r="Z75" s="39">
        <v>0.12</v>
      </c>
      <c r="AA75" s="42">
        <f>J75*Z75</f>
        <v>17.423999999999999</v>
      </c>
      <c r="AB75" s="42">
        <f>J75+AA75</f>
        <v>162.624</v>
      </c>
      <c r="AC75" s="39">
        <v>0.05</v>
      </c>
      <c r="AD75" s="42">
        <f t="shared" si="75"/>
        <v>8.1311999999999998</v>
      </c>
      <c r="AE75" s="42">
        <f t="shared" si="76"/>
        <v>170.7552</v>
      </c>
      <c r="AF75" s="39">
        <v>0.1</v>
      </c>
      <c r="AG75" s="42">
        <f t="shared" si="77"/>
        <v>14.52</v>
      </c>
      <c r="AH75" s="42">
        <f t="shared" si="78"/>
        <v>159.72</v>
      </c>
      <c r="AI75" s="39">
        <v>0.05</v>
      </c>
      <c r="AJ75">
        <v>0</v>
      </c>
      <c r="AK75" s="42">
        <f t="shared" si="79"/>
        <v>7.9860000000000007</v>
      </c>
      <c r="AL75" s="42">
        <f t="shared" si="80"/>
        <v>167.70599999999999</v>
      </c>
      <c r="AM75">
        <v>0</v>
      </c>
      <c r="AN75">
        <v>0</v>
      </c>
      <c r="AO75">
        <v>0</v>
      </c>
      <c r="AP75">
        <v>0</v>
      </c>
      <c r="AQ75">
        <v>0</v>
      </c>
      <c r="BN75" s="25">
        <f t="shared" si="60"/>
        <v>5.5</v>
      </c>
      <c r="BO75" s="19">
        <f t="shared" si="61"/>
        <v>115.5</v>
      </c>
      <c r="BP75" s="12">
        <f t="shared" si="58"/>
        <v>231</v>
      </c>
    </row>
    <row r="76" spans="2:68" x14ac:dyDescent="0.25">
      <c r="B76" s="13"/>
      <c r="C76" s="14" t="s">
        <v>68</v>
      </c>
      <c r="D76" s="15"/>
      <c r="E76" s="16"/>
      <c r="F76" s="17"/>
      <c r="G76" s="18"/>
      <c r="AF76" s="39">
        <v>0.1</v>
      </c>
      <c r="AI76" s="39">
        <v>0.05</v>
      </c>
      <c r="AK76" s="42">
        <f t="shared" si="79"/>
        <v>0</v>
      </c>
      <c r="AL76" s="42">
        <f t="shared" si="80"/>
        <v>0</v>
      </c>
      <c r="BN76" s="18"/>
      <c r="BO76" s="19">
        <f t="shared" si="61"/>
        <v>0</v>
      </c>
      <c r="BP76" s="12">
        <f t="shared" si="58"/>
        <v>0</v>
      </c>
    </row>
    <row r="77" spans="2:68" x14ac:dyDescent="0.25">
      <c r="B77" s="13">
        <f>+B75+1</f>
        <v>57</v>
      </c>
      <c r="C77" s="17" t="s">
        <v>69</v>
      </c>
      <c r="D77" s="24">
        <v>1</v>
      </c>
      <c r="E77" s="24">
        <v>1</v>
      </c>
      <c r="F77" s="26">
        <f t="shared" ref="F77:F89" si="83">+D77+E77</f>
        <v>2</v>
      </c>
      <c r="G77" s="25">
        <v>110</v>
      </c>
      <c r="H77" s="41">
        <v>0.39</v>
      </c>
      <c r="I77" s="42">
        <f>G77*H77</f>
        <v>42.9</v>
      </c>
      <c r="J77" s="43">
        <f>G77+I77</f>
        <v>152.9</v>
      </c>
      <c r="K77" s="41">
        <v>0.05</v>
      </c>
      <c r="L77" s="42">
        <f>J77*K77</f>
        <v>7.6450000000000005</v>
      </c>
      <c r="M77" s="45">
        <f>J77+L77</f>
        <v>160.54500000000002</v>
      </c>
      <c r="N77" s="39">
        <v>0.31</v>
      </c>
      <c r="O77" s="42">
        <f>J77*N77</f>
        <v>47.399000000000001</v>
      </c>
      <c r="P77" s="42">
        <f>J77+O77</f>
        <v>200.29900000000001</v>
      </c>
      <c r="Q77" s="39">
        <v>0.05</v>
      </c>
      <c r="R77" s="42">
        <f>P77*Q77</f>
        <v>10.014950000000001</v>
      </c>
      <c r="S77" s="42">
        <f>P77+R77</f>
        <v>210.31395000000001</v>
      </c>
      <c r="T77" s="39">
        <v>0.28999999999999998</v>
      </c>
      <c r="U77" s="42">
        <f>J77*T77</f>
        <v>44.341000000000001</v>
      </c>
      <c r="V77" s="42">
        <f>J77+U77</f>
        <v>197.24100000000001</v>
      </c>
      <c r="W77" s="39">
        <v>0.05</v>
      </c>
      <c r="X77" s="42">
        <f>V77*W77</f>
        <v>9.8620500000000018</v>
      </c>
      <c r="Y77" s="42">
        <f>V77+X77</f>
        <v>207.10305000000002</v>
      </c>
      <c r="Z77" s="39">
        <v>0.12</v>
      </c>
      <c r="AA77" s="42">
        <f>J77*Z77</f>
        <v>18.347999999999999</v>
      </c>
      <c r="AB77" s="42">
        <f>J77+AA77</f>
        <v>171.24799999999999</v>
      </c>
      <c r="AC77" s="39">
        <v>0.05</v>
      </c>
      <c r="AD77" s="42">
        <f>AB77*AC77</f>
        <v>8.5624000000000002</v>
      </c>
      <c r="AE77" s="42">
        <f>AB77+AD77</f>
        <v>179.81039999999999</v>
      </c>
      <c r="AF77" s="39">
        <v>0.1</v>
      </c>
      <c r="AG77" s="42">
        <f>J77*AF77</f>
        <v>15.290000000000001</v>
      </c>
      <c r="AH77" s="42">
        <f>J77+AG77</f>
        <v>168.19</v>
      </c>
      <c r="AI77" s="39">
        <v>0.05</v>
      </c>
      <c r="AK77" s="42">
        <f t="shared" si="79"/>
        <v>8.4094999999999995</v>
      </c>
      <c r="AL77" s="42">
        <f t="shared" si="80"/>
        <v>176.59950000000001</v>
      </c>
      <c r="BN77" s="25">
        <f t="shared" ref="BN77:BN89" si="84">+G77*5%</f>
        <v>5.5</v>
      </c>
      <c r="BO77" s="19">
        <f t="shared" si="61"/>
        <v>115.5</v>
      </c>
      <c r="BP77" s="12">
        <f t="shared" si="58"/>
        <v>231</v>
      </c>
    </row>
    <row r="78" spans="2:68" x14ac:dyDescent="0.25">
      <c r="B78" s="13">
        <f>+B77+1</f>
        <v>58</v>
      </c>
      <c r="C78" s="17" t="s">
        <v>70</v>
      </c>
      <c r="D78" s="24">
        <v>1</v>
      </c>
      <c r="E78" s="24">
        <v>1</v>
      </c>
      <c r="F78" s="26">
        <f t="shared" si="83"/>
        <v>2</v>
      </c>
      <c r="G78" s="25">
        <v>110</v>
      </c>
      <c r="H78" s="41">
        <v>0.39</v>
      </c>
      <c r="I78" s="42">
        <f t="shared" ref="I78:I89" si="85">G78*H78</f>
        <v>42.9</v>
      </c>
      <c r="J78" s="43">
        <f t="shared" ref="J78:J89" si="86">G78+I78</f>
        <v>152.9</v>
      </c>
      <c r="K78" s="41">
        <v>0.05</v>
      </c>
      <c r="L78" s="42">
        <f t="shared" ref="L78:L89" si="87">J78*K78</f>
        <v>7.6450000000000005</v>
      </c>
      <c r="M78" s="45">
        <f t="shared" ref="M78:M89" si="88">J78+L78</f>
        <v>160.54500000000002</v>
      </c>
      <c r="N78" s="39">
        <v>0.31</v>
      </c>
      <c r="O78" s="42">
        <f t="shared" ref="O78:O89" si="89">J78*N78</f>
        <v>47.399000000000001</v>
      </c>
      <c r="P78" s="42">
        <f t="shared" ref="P78:P89" si="90">J78+O78</f>
        <v>200.29900000000001</v>
      </c>
      <c r="Q78" s="39">
        <v>0.05</v>
      </c>
      <c r="R78" s="42">
        <f t="shared" ref="R78:R89" si="91">P78*Q78</f>
        <v>10.014950000000001</v>
      </c>
      <c r="S78" s="42">
        <f t="shared" ref="S78:S89" si="92">P78+R78</f>
        <v>210.31395000000001</v>
      </c>
      <c r="T78" s="39">
        <v>0.28999999999999998</v>
      </c>
      <c r="U78" s="42">
        <f t="shared" ref="U78:U89" si="93">J78*T78</f>
        <v>44.341000000000001</v>
      </c>
      <c r="V78" s="42">
        <f t="shared" ref="V78:V89" si="94">J78+U78</f>
        <v>197.24100000000001</v>
      </c>
      <c r="W78" s="39">
        <v>0.05</v>
      </c>
      <c r="X78" s="42">
        <f t="shared" ref="X78:X89" si="95">V78*W78</f>
        <v>9.8620500000000018</v>
      </c>
      <c r="Y78" s="42">
        <f t="shared" ref="Y78:Y89" si="96">V78+X78</f>
        <v>207.10305000000002</v>
      </c>
      <c r="Z78" s="39">
        <v>0.12</v>
      </c>
      <c r="AA78" s="42">
        <f t="shared" ref="AA78:AA89" si="97">J78*Z78</f>
        <v>18.347999999999999</v>
      </c>
      <c r="AB78" s="42">
        <f t="shared" ref="AB78:AB89" si="98">J78+AA78</f>
        <v>171.24799999999999</v>
      </c>
      <c r="AC78" s="39">
        <v>0.05</v>
      </c>
      <c r="AD78" s="42">
        <f t="shared" ref="AD78:AD89" si="99">AB78*AC78</f>
        <v>8.5624000000000002</v>
      </c>
      <c r="AE78" s="42">
        <f t="shared" ref="AE78:AE89" si="100">AB78+AD78</f>
        <v>179.81039999999999</v>
      </c>
      <c r="AF78" s="39">
        <v>0.1</v>
      </c>
      <c r="AG78" s="42">
        <f t="shared" ref="AG78:AG89" si="101">J78*AF78</f>
        <v>15.290000000000001</v>
      </c>
      <c r="AH78" s="42">
        <f t="shared" ref="AH78:AH89" si="102">J78+AG78</f>
        <v>168.19</v>
      </c>
      <c r="AI78" s="39">
        <v>0.05</v>
      </c>
      <c r="AK78" s="42">
        <f t="shared" si="79"/>
        <v>8.4094999999999995</v>
      </c>
      <c r="AL78" s="42">
        <f t="shared" si="80"/>
        <v>176.59950000000001</v>
      </c>
      <c r="BN78" s="25">
        <f t="shared" si="84"/>
        <v>5.5</v>
      </c>
      <c r="BO78" s="19">
        <f t="shared" si="61"/>
        <v>115.5</v>
      </c>
      <c r="BP78" s="12">
        <f t="shared" si="58"/>
        <v>231</v>
      </c>
    </row>
    <row r="79" spans="2:68" x14ac:dyDescent="0.25">
      <c r="B79" s="13">
        <f t="shared" ref="B79:B89" si="103">+B78+1</f>
        <v>59</v>
      </c>
      <c r="C79" s="17" t="s">
        <v>71</v>
      </c>
      <c r="D79" s="24">
        <v>1</v>
      </c>
      <c r="E79" s="24">
        <v>1</v>
      </c>
      <c r="F79" s="26">
        <f t="shared" si="83"/>
        <v>2</v>
      </c>
      <c r="G79" s="25">
        <v>110</v>
      </c>
      <c r="H79" s="41">
        <v>0.39</v>
      </c>
      <c r="I79" s="42">
        <f t="shared" si="85"/>
        <v>42.9</v>
      </c>
      <c r="J79" s="43">
        <f t="shared" si="86"/>
        <v>152.9</v>
      </c>
      <c r="K79" s="41">
        <v>0.05</v>
      </c>
      <c r="L79" s="42">
        <f t="shared" si="87"/>
        <v>7.6450000000000005</v>
      </c>
      <c r="M79" s="45">
        <f t="shared" si="88"/>
        <v>160.54500000000002</v>
      </c>
      <c r="N79" s="39">
        <v>0.31</v>
      </c>
      <c r="O79" s="42">
        <f t="shared" si="89"/>
        <v>47.399000000000001</v>
      </c>
      <c r="P79" s="42">
        <f t="shared" si="90"/>
        <v>200.29900000000001</v>
      </c>
      <c r="Q79" s="39">
        <v>0.05</v>
      </c>
      <c r="R79" s="42">
        <f t="shared" si="91"/>
        <v>10.014950000000001</v>
      </c>
      <c r="S79" s="42">
        <f t="shared" si="92"/>
        <v>210.31395000000001</v>
      </c>
      <c r="T79" s="39">
        <v>0.28999999999999998</v>
      </c>
      <c r="U79" s="42">
        <f t="shared" si="93"/>
        <v>44.341000000000001</v>
      </c>
      <c r="V79" s="42">
        <f t="shared" si="94"/>
        <v>197.24100000000001</v>
      </c>
      <c r="W79" s="39">
        <v>0.05</v>
      </c>
      <c r="X79" s="42">
        <f t="shared" si="95"/>
        <v>9.8620500000000018</v>
      </c>
      <c r="Y79" s="42">
        <f t="shared" si="96"/>
        <v>207.10305000000002</v>
      </c>
      <c r="Z79" s="39">
        <v>0.12</v>
      </c>
      <c r="AA79" s="42">
        <f t="shared" si="97"/>
        <v>18.347999999999999</v>
      </c>
      <c r="AB79" s="42">
        <f t="shared" si="98"/>
        <v>171.24799999999999</v>
      </c>
      <c r="AC79" s="39">
        <v>0.05</v>
      </c>
      <c r="AD79" s="42">
        <f t="shared" si="99"/>
        <v>8.5624000000000002</v>
      </c>
      <c r="AE79" s="42">
        <f t="shared" si="100"/>
        <v>179.81039999999999</v>
      </c>
      <c r="AF79" s="39">
        <v>0.1</v>
      </c>
      <c r="AG79" s="42">
        <f t="shared" si="101"/>
        <v>15.290000000000001</v>
      </c>
      <c r="AH79" s="42">
        <f t="shared" si="102"/>
        <v>168.19</v>
      </c>
      <c r="AI79" s="39">
        <v>0.05</v>
      </c>
      <c r="AK79" s="42">
        <f t="shared" si="79"/>
        <v>8.4094999999999995</v>
      </c>
      <c r="AL79" s="42">
        <f t="shared" si="80"/>
        <v>176.59950000000001</v>
      </c>
      <c r="BN79" s="25">
        <f t="shared" si="84"/>
        <v>5.5</v>
      </c>
      <c r="BO79" s="19">
        <f t="shared" si="61"/>
        <v>115.5</v>
      </c>
      <c r="BP79" s="12">
        <f t="shared" si="58"/>
        <v>231</v>
      </c>
    </row>
    <row r="80" spans="2:68" x14ac:dyDescent="0.25">
      <c r="B80" s="13">
        <f t="shared" si="103"/>
        <v>60</v>
      </c>
      <c r="C80" s="17" t="s">
        <v>72</v>
      </c>
      <c r="D80" s="24">
        <v>1</v>
      </c>
      <c r="E80" s="24">
        <v>1</v>
      </c>
      <c r="F80" s="26">
        <f t="shared" si="83"/>
        <v>2</v>
      </c>
      <c r="G80" s="25">
        <v>110</v>
      </c>
      <c r="H80" s="41">
        <v>0.39</v>
      </c>
      <c r="I80" s="42">
        <f t="shared" si="85"/>
        <v>42.9</v>
      </c>
      <c r="J80" s="43">
        <f t="shared" si="86"/>
        <v>152.9</v>
      </c>
      <c r="K80" s="41">
        <v>0.05</v>
      </c>
      <c r="L80" s="42">
        <f t="shared" si="87"/>
        <v>7.6450000000000005</v>
      </c>
      <c r="M80" s="45">
        <f t="shared" si="88"/>
        <v>160.54500000000002</v>
      </c>
      <c r="N80" s="39">
        <v>0.31</v>
      </c>
      <c r="O80" s="42">
        <f t="shared" si="89"/>
        <v>47.399000000000001</v>
      </c>
      <c r="P80" s="42">
        <f t="shared" si="90"/>
        <v>200.29900000000001</v>
      </c>
      <c r="Q80" s="39">
        <v>0.05</v>
      </c>
      <c r="R80" s="42">
        <f t="shared" si="91"/>
        <v>10.014950000000001</v>
      </c>
      <c r="S80" s="42">
        <f t="shared" si="92"/>
        <v>210.31395000000001</v>
      </c>
      <c r="T80" s="39">
        <v>0.28999999999999998</v>
      </c>
      <c r="U80" s="42">
        <f t="shared" si="93"/>
        <v>44.341000000000001</v>
      </c>
      <c r="V80" s="42">
        <f t="shared" si="94"/>
        <v>197.24100000000001</v>
      </c>
      <c r="W80" s="39">
        <v>0.05</v>
      </c>
      <c r="X80" s="42">
        <f t="shared" si="95"/>
        <v>9.8620500000000018</v>
      </c>
      <c r="Y80" s="42">
        <f t="shared" si="96"/>
        <v>207.10305000000002</v>
      </c>
      <c r="Z80" s="39">
        <v>0.12</v>
      </c>
      <c r="AA80" s="42">
        <f t="shared" si="97"/>
        <v>18.347999999999999</v>
      </c>
      <c r="AB80" s="42">
        <f t="shared" si="98"/>
        <v>171.24799999999999</v>
      </c>
      <c r="AC80" s="39">
        <v>0.05</v>
      </c>
      <c r="AD80" s="42">
        <f t="shared" si="99"/>
        <v>8.5624000000000002</v>
      </c>
      <c r="AE80" s="42">
        <f t="shared" si="100"/>
        <v>179.81039999999999</v>
      </c>
      <c r="AF80" s="39">
        <v>0.1</v>
      </c>
      <c r="AG80" s="42">
        <f t="shared" si="101"/>
        <v>15.290000000000001</v>
      </c>
      <c r="AH80" s="42">
        <f t="shared" si="102"/>
        <v>168.19</v>
      </c>
      <c r="AI80" s="39">
        <v>0.05</v>
      </c>
      <c r="AK80" s="42">
        <f t="shared" si="79"/>
        <v>8.4094999999999995</v>
      </c>
      <c r="AL80" s="42">
        <f t="shared" si="80"/>
        <v>176.59950000000001</v>
      </c>
      <c r="BN80" s="25">
        <f t="shared" si="84"/>
        <v>5.5</v>
      </c>
      <c r="BO80" s="19">
        <f t="shared" si="61"/>
        <v>115.5</v>
      </c>
      <c r="BP80" s="12">
        <f t="shared" si="58"/>
        <v>231</v>
      </c>
    </row>
    <row r="81" spans="2:68" x14ac:dyDescent="0.25">
      <c r="B81" s="13">
        <f t="shared" si="103"/>
        <v>61</v>
      </c>
      <c r="C81" s="17" t="s">
        <v>73</v>
      </c>
      <c r="D81" s="24">
        <v>1</v>
      </c>
      <c r="E81" s="24">
        <v>1</v>
      </c>
      <c r="F81" s="26">
        <f t="shared" si="83"/>
        <v>2</v>
      </c>
      <c r="G81" s="25">
        <v>110</v>
      </c>
      <c r="H81" s="41">
        <v>0.39</v>
      </c>
      <c r="I81" s="42">
        <f t="shared" si="85"/>
        <v>42.9</v>
      </c>
      <c r="J81" s="43">
        <f t="shared" si="86"/>
        <v>152.9</v>
      </c>
      <c r="K81" s="41">
        <v>0.05</v>
      </c>
      <c r="L81" s="42">
        <f t="shared" si="87"/>
        <v>7.6450000000000005</v>
      </c>
      <c r="M81" s="45">
        <f t="shared" si="88"/>
        <v>160.54500000000002</v>
      </c>
      <c r="N81" s="39">
        <v>0.31</v>
      </c>
      <c r="O81" s="42">
        <f t="shared" si="89"/>
        <v>47.399000000000001</v>
      </c>
      <c r="P81" s="42">
        <f t="shared" si="90"/>
        <v>200.29900000000001</v>
      </c>
      <c r="Q81" s="39">
        <v>0.05</v>
      </c>
      <c r="R81" s="42">
        <f t="shared" si="91"/>
        <v>10.014950000000001</v>
      </c>
      <c r="S81" s="42">
        <f t="shared" si="92"/>
        <v>210.31395000000001</v>
      </c>
      <c r="T81" s="39">
        <v>0.28999999999999998</v>
      </c>
      <c r="U81" s="42">
        <f t="shared" si="93"/>
        <v>44.341000000000001</v>
      </c>
      <c r="V81" s="42">
        <f t="shared" si="94"/>
        <v>197.24100000000001</v>
      </c>
      <c r="W81" s="39">
        <v>0.05</v>
      </c>
      <c r="X81" s="42">
        <f t="shared" si="95"/>
        <v>9.8620500000000018</v>
      </c>
      <c r="Y81" s="42">
        <f t="shared" si="96"/>
        <v>207.10305000000002</v>
      </c>
      <c r="Z81" s="39">
        <v>0.12</v>
      </c>
      <c r="AA81" s="42">
        <f t="shared" si="97"/>
        <v>18.347999999999999</v>
      </c>
      <c r="AB81" s="42">
        <f t="shared" si="98"/>
        <v>171.24799999999999</v>
      </c>
      <c r="AC81" s="39">
        <v>0.05</v>
      </c>
      <c r="AD81" s="42">
        <f t="shared" si="99"/>
        <v>8.5624000000000002</v>
      </c>
      <c r="AE81" s="42">
        <f t="shared" si="100"/>
        <v>179.81039999999999</v>
      </c>
      <c r="AF81" s="39">
        <v>0.1</v>
      </c>
      <c r="AG81" s="42">
        <f t="shared" si="101"/>
        <v>15.290000000000001</v>
      </c>
      <c r="AH81" s="42">
        <f t="shared" si="102"/>
        <v>168.19</v>
      </c>
      <c r="AI81" s="39">
        <v>0.05</v>
      </c>
      <c r="AK81" s="42">
        <f t="shared" si="79"/>
        <v>8.4094999999999995</v>
      </c>
      <c r="AL81" s="42">
        <f t="shared" si="80"/>
        <v>176.59950000000001</v>
      </c>
      <c r="BN81" s="25">
        <f t="shared" si="84"/>
        <v>5.5</v>
      </c>
      <c r="BO81" s="19">
        <f t="shared" si="61"/>
        <v>115.5</v>
      </c>
      <c r="BP81" s="12">
        <f t="shared" si="58"/>
        <v>231</v>
      </c>
    </row>
    <row r="82" spans="2:68" x14ac:dyDescent="0.25">
      <c r="B82" s="13">
        <f t="shared" si="103"/>
        <v>62</v>
      </c>
      <c r="C82" s="17" t="s">
        <v>74</v>
      </c>
      <c r="D82" s="24">
        <v>1</v>
      </c>
      <c r="E82" s="24">
        <v>1</v>
      </c>
      <c r="F82" s="26">
        <f t="shared" si="83"/>
        <v>2</v>
      </c>
      <c r="G82" s="25">
        <v>110</v>
      </c>
      <c r="H82" s="41">
        <v>0.39</v>
      </c>
      <c r="I82" s="42">
        <f t="shared" si="85"/>
        <v>42.9</v>
      </c>
      <c r="J82" s="43">
        <f t="shared" si="86"/>
        <v>152.9</v>
      </c>
      <c r="K82" s="41">
        <v>0.05</v>
      </c>
      <c r="L82" s="42">
        <f t="shared" si="87"/>
        <v>7.6450000000000005</v>
      </c>
      <c r="M82" s="45">
        <f t="shared" si="88"/>
        <v>160.54500000000002</v>
      </c>
      <c r="N82" s="39">
        <v>0.31</v>
      </c>
      <c r="O82" s="42">
        <f t="shared" si="89"/>
        <v>47.399000000000001</v>
      </c>
      <c r="P82" s="42">
        <f t="shared" si="90"/>
        <v>200.29900000000001</v>
      </c>
      <c r="Q82" s="39">
        <v>0.05</v>
      </c>
      <c r="R82" s="42">
        <f t="shared" si="91"/>
        <v>10.014950000000001</v>
      </c>
      <c r="S82" s="42">
        <f t="shared" si="92"/>
        <v>210.31395000000001</v>
      </c>
      <c r="T82" s="39">
        <v>0.28999999999999998</v>
      </c>
      <c r="U82" s="42">
        <f t="shared" si="93"/>
        <v>44.341000000000001</v>
      </c>
      <c r="V82" s="42">
        <f t="shared" si="94"/>
        <v>197.24100000000001</v>
      </c>
      <c r="W82" s="39">
        <v>0.05</v>
      </c>
      <c r="X82" s="42">
        <f t="shared" si="95"/>
        <v>9.8620500000000018</v>
      </c>
      <c r="Y82" s="42">
        <f t="shared" si="96"/>
        <v>207.10305000000002</v>
      </c>
      <c r="Z82" s="39">
        <v>0.12</v>
      </c>
      <c r="AA82" s="42">
        <f t="shared" si="97"/>
        <v>18.347999999999999</v>
      </c>
      <c r="AB82" s="42">
        <f t="shared" si="98"/>
        <v>171.24799999999999</v>
      </c>
      <c r="AC82" s="39">
        <v>0.05</v>
      </c>
      <c r="AD82" s="42">
        <f t="shared" si="99"/>
        <v>8.5624000000000002</v>
      </c>
      <c r="AE82" s="42">
        <f t="shared" si="100"/>
        <v>179.81039999999999</v>
      </c>
      <c r="AF82" s="39">
        <v>0.1</v>
      </c>
      <c r="AG82" s="42">
        <f t="shared" si="101"/>
        <v>15.290000000000001</v>
      </c>
      <c r="AH82" s="42">
        <f t="shared" si="102"/>
        <v>168.19</v>
      </c>
      <c r="AI82" s="39">
        <v>0.05</v>
      </c>
      <c r="AK82" s="42">
        <f t="shared" si="79"/>
        <v>8.4094999999999995</v>
      </c>
      <c r="AL82" s="42">
        <f t="shared" si="80"/>
        <v>176.59950000000001</v>
      </c>
      <c r="BN82" s="25">
        <f t="shared" si="84"/>
        <v>5.5</v>
      </c>
      <c r="BO82" s="19">
        <f t="shared" si="61"/>
        <v>115.5</v>
      </c>
      <c r="BP82" s="12">
        <f t="shared" si="58"/>
        <v>231</v>
      </c>
    </row>
    <row r="83" spans="2:68" x14ac:dyDescent="0.25">
      <c r="B83" s="13">
        <f t="shared" si="103"/>
        <v>63</v>
      </c>
      <c r="C83" s="17" t="s">
        <v>75</v>
      </c>
      <c r="D83" s="24">
        <v>1</v>
      </c>
      <c r="E83" s="24">
        <v>1</v>
      </c>
      <c r="F83" s="26">
        <f t="shared" si="83"/>
        <v>2</v>
      </c>
      <c r="G83" s="25">
        <v>110</v>
      </c>
      <c r="H83" s="41">
        <v>0.39</v>
      </c>
      <c r="I83" s="42">
        <f t="shared" si="85"/>
        <v>42.9</v>
      </c>
      <c r="J83" s="43">
        <f t="shared" si="86"/>
        <v>152.9</v>
      </c>
      <c r="K83" s="41">
        <v>0.05</v>
      </c>
      <c r="L83" s="42">
        <f t="shared" si="87"/>
        <v>7.6450000000000005</v>
      </c>
      <c r="M83" s="45">
        <f t="shared" si="88"/>
        <v>160.54500000000002</v>
      </c>
      <c r="N83" s="39">
        <v>0.31</v>
      </c>
      <c r="O83" s="42">
        <f t="shared" si="89"/>
        <v>47.399000000000001</v>
      </c>
      <c r="P83" s="42">
        <f t="shared" si="90"/>
        <v>200.29900000000001</v>
      </c>
      <c r="Q83" s="39">
        <v>0.05</v>
      </c>
      <c r="R83" s="42">
        <f t="shared" si="91"/>
        <v>10.014950000000001</v>
      </c>
      <c r="S83" s="42">
        <f t="shared" si="92"/>
        <v>210.31395000000001</v>
      </c>
      <c r="T83" s="39">
        <v>0.28999999999999998</v>
      </c>
      <c r="U83" s="42">
        <f t="shared" si="93"/>
        <v>44.341000000000001</v>
      </c>
      <c r="V83" s="42">
        <f t="shared" si="94"/>
        <v>197.24100000000001</v>
      </c>
      <c r="W83" s="39">
        <v>0.05</v>
      </c>
      <c r="X83" s="42">
        <f t="shared" si="95"/>
        <v>9.8620500000000018</v>
      </c>
      <c r="Y83" s="42">
        <f t="shared" si="96"/>
        <v>207.10305000000002</v>
      </c>
      <c r="Z83" s="39">
        <v>0.12</v>
      </c>
      <c r="AA83" s="42">
        <f t="shared" si="97"/>
        <v>18.347999999999999</v>
      </c>
      <c r="AB83" s="42">
        <f t="shared" si="98"/>
        <v>171.24799999999999</v>
      </c>
      <c r="AC83" s="39">
        <v>0.05</v>
      </c>
      <c r="AD83" s="42">
        <f t="shared" si="99"/>
        <v>8.5624000000000002</v>
      </c>
      <c r="AE83" s="42">
        <f t="shared" si="100"/>
        <v>179.81039999999999</v>
      </c>
      <c r="AF83" s="39">
        <v>0.1</v>
      </c>
      <c r="AG83" s="42">
        <f t="shared" si="101"/>
        <v>15.290000000000001</v>
      </c>
      <c r="AH83" s="42">
        <f t="shared" si="102"/>
        <v>168.19</v>
      </c>
      <c r="AI83" s="39">
        <v>0.05</v>
      </c>
      <c r="AK83" s="42">
        <f t="shared" si="79"/>
        <v>8.4094999999999995</v>
      </c>
      <c r="AL83" s="42">
        <f t="shared" si="80"/>
        <v>176.59950000000001</v>
      </c>
      <c r="BN83" s="25">
        <f t="shared" si="84"/>
        <v>5.5</v>
      </c>
      <c r="BO83" s="19">
        <f t="shared" si="61"/>
        <v>115.5</v>
      </c>
      <c r="BP83" s="12">
        <f t="shared" si="58"/>
        <v>231</v>
      </c>
    </row>
    <row r="84" spans="2:68" x14ac:dyDescent="0.25">
      <c r="B84" s="13">
        <f t="shared" si="103"/>
        <v>64</v>
      </c>
      <c r="C84" s="17" t="s">
        <v>76</v>
      </c>
      <c r="D84" s="24">
        <v>1</v>
      </c>
      <c r="E84" s="24">
        <v>1</v>
      </c>
      <c r="F84" s="26">
        <f t="shared" si="83"/>
        <v>2</v>
      </c>
      <c r="G84" s="25">
        <v>110</v>
      </c>
      <c r="H84" s="41">
        <v>0.39</v>
      </c>
      <c r="I84" s="42">
        <f t="shared" si="85"/>
        <v>42.9</v>
      </c>
      <c r="J84" s="43">
        <f t="shared" si="86"/>
        <v>152.9</v>
      </c>
      <c r="K84" s="41">
        <v>0.05</v>
      </c>
      <c r="L84" s="42">
        <f t="shared" si="87"/>
        <v>7.6450000000000005</v>
      </c>
      <c r="M84" s="45">
        <f t="shared" si="88"/>
        <v>160.54500000000002</v>
      </c>
      <c r="N84" s="39">
        <v>0.31</v>
      </c>
      <c r="O84" s="42">
        <f t="shared" si="89"/>
        <v>47.399000000000001</v>
      </c>
      <c r="P84" s="42">
        <f t="shared" si="90"/>
        <v>200.29900000000001</v>
      </c>
      <c r="Q84" s="39">
        <v>0.05</v>
      </c>
      <c r="R84" s="42">
        <f t="shared" si="91"/>
        <v>10.014950000000001</v>
      </c>
      <c r="S84" s="42">
        <f t="shared" si="92"/>
        <v>210.31395000000001</v>
      </c>
      <c r="T84" s="39">
        <v>0.28999999999999998</v>
      </c>
      <c r="U84" s="42">
        <f t="shared" si="93"/>
        <v>44.341000000000001</v>
      </c>
      <c r="V84" s="42">
        <f t="shared" si="94"/>
        <v>197.24100000000001</v>
      </c>
      <c r="W84" s="39">
        <v>0.05</v>
      </c>
      <c r="X84" s="42">
        <f t="shared" si="95"/>
        <v>9.8620500000000018</v>
      </c>
      <c r="Y84" s="42">
        <f t="shared" si="96"/>
        <v>207.10305000000002</v>
      </c>
      <c r="Z84" s="39">
        <v>0.12</v>
      </c>
      <c r="AA84" s="42">
        <f t="shared" si="97"/>
        <v>18.347999999999999</v>
      </c>
      <c r="AB84" s="42">
        <f t="shared" si="98"/>
        <v>171.24799999999999</v>
      </c>
      <c r="AC84" s="39">
        <v>0.05</v>
      </c>
      <c r="AD84" s="42">
        <f t="shared" si="99"/>
        <v>8.5624000000000002</v>
      </c>
      <c r="AE84" s="42">
        <f t="shared" si="100"/>
        <v>179.81039999999999</v>
      </c>
      <c r="AF84" s="39">
        <v>0.1</v>
      </c>
      <c r="AG84" s="42">
        <f t="shared" si="101"/>
        <v>15.290000000000001</v>
      </c>
      <c r="AH84" s="42">
        <f t="shared" si="102"/>
        <v>168.19</v>
      </c>
      <c r="AI84" s="39">
        <v>0.05</v>
      </c>
      <c r="AK84" s="42">
        <f t="shared" si="79"/>
        <v>8.4094999999999995</v>
      </c>
      <c r="AL84" s="42">
        <f t="shared" si="80"/>
        <v>176.59950000000001</v>
      </c>
      <c r="BN84" s="25">
        <f t="shared" si="84"/>
        <v>5.5</v>
      </c>
      <c r="BO84" s="19">
        <f t="shared" si="61"/>
        <v>115.5</v>
      </c>
      <c r="BP84" s="12">
        <f t="shared" si="58"/>
        <v>231</v>
      </c>
    </row>
    <row r="85" spans="2:68" x14ac:dyDescent="0.25">
      <c r="B85" s="13">
        <f t="shared" si="103"/>
        <v>65</v>
      </c>
      <c r="C85" s="17" t="s">
        <v>77</v>
      </c>
      <c r="D85" s="24">
        <v>1</v>
      </c>
      <c r="E85" s="24">
        <v>1</v>
      </c>
      <c r="F85" s="26">
        <f t="shared" si="83"/>
        <v>2</v>
      </c>
      <c r="G85" s="25">
        <v>110</v>
      </c>
      <c r="H85" s="41">
        <v>0.39</v>
      </c>
      <c r="I85" s="42">
        <f t="shared" si="85"/>
        <v>42.9</v>
      </c>
      <c r="J85" s="43">
        <f t="shared" si="86"/>
        <v>152.9</v>
      </c>
      <c r="K85" s="41">
        <v>0.05</v>
      </c>
      <c r="L85" s="42">
        <f t="shared" si="87"/>
        <v>7.6450000000000005</v>
      </c>
      <c r="M85" s="45">
        <f t="shared" si="88"/>
        <v>160.54500000000002</v>
      </c>
      <c r="N85" s="39">
        <v>0.31</v>
      </c>
      <c r="O85" s="42">
        <f t="shared" si="89"/>
        <v>47.399000000000001</v>
      </c>
      <c r="P85" s="42">
        <f t="shared" si="90"/>
        <v>200.29900000000001</v>
      </c>
      <c r="Q85" s="39">
        <v>0.05</v>
      </c>
      <c r="R85" s="42">
        <f t="shared" si="91"/>
        <v>10.014950000000001</v>
      </c>
      <c r="S85" s="42">
        <f t="shared" si="92"/>
        <v>210.31395000000001</v>
      </c>
      <c r="T85" s="39">
        <v>0.28999999999999998</v>
      </c>
      <c r="U85" s="42">
        <f t="shared" si="93"/>
        <v>44.341000000000001</v>
      </c>
      <c r="V85" s="42">
        <f t="shared" si="94"/>
        <v>197.24100000000001</v>
      </c>
      <c r="W85" s="39">
        <v>0.05</v>
      </c>
      <c r="X85" s="42">
        <f t="shared" si="95"/>
        <v>9.8620500000000018</v>
      </c>
      <c r="Y85" s="42">
        <f t="shared" si="96"/>
        <v>207.10305000000002</v>
      </c>
      <c r="Z85" s="39">
        <v>0.12</v>
      </c>
      <c r="AA85" s="42">
        <f t="shared" si="97"/>
        <v>18.347999999999999</v>
      </c>
      <c r="AB85" s="42">
        <f t="shared" si="98"/>
        <v>171.24799999999999</v>
      </c>
      <c r="AC85" s="39">
        <v>0.05</v>
      </c>
      <c r="AD85" s="42">
        <f t="shared" si="99"/>
        <v>8.5624000000000002</v>
      </c>
      <c r="AE85" s="42">
        <f t="shared" si="100"/>
        <v>179.81039999999999</v>
      </c>
      <c r="AF85" s="39">
        <v>0.1</v>
      </c>
      <c r="AG85" s="42">
        <f t="shared" si="101"/>
        <v>15.290000000000001</v>
      </c>
      <c r="AH85" s="42">
        <f t="shared" si="102"/>
        <v>168.19</v>
      </c>
      <c r="AI85" s="39">
        <v>0.05</v>
      </c>
      <c r="AK85" s="42">
        <f t="shared" si="79"/>
        <v>8.4094999999999995</v>
      </c>
      <c r="AL85" s="42">
        <f t="shared" si="80"/>
        <v>176.59950000000001</v>
      </c>
      <c r="BN85" s="25">
        <f t="shared" si="84"/>
        <v>5.5</v>
      </c>
      <c r="BO85" s="19">
        <f t="shared" si="61"/>
        <v>115.5</v>
      </c>
      <c r="BP85" s="12">
        <f t="shared" si="58"/>
        <v>231</v>
      </c>
    </row>
    <row r="86" spans="2:68" x14ac:dyDescent="0.25">
      <c r="B86" s="13">
        <f t="shared" si="103"/>
        <v>66</v>
      </c>
      <c r="C86" s="17" t="s">
        <v>78</v>
      </c>
      <c r="D86" s="24">
        <v>1</v>
      </c>
      <c r="E86" s="24">
        <v>1</v>
      </c>
      <c r="F86" s="26">
        <f t="shared" si="83"/>
        <v>2</v>
      </c>
      <c r="G86" s="25">
        <v>110</v>
      </c>
      <c r="H86" s="41">
        <v>0.39</v>
      </c>
      <c r="I86" s="42">
        <f t="shared" si="85"/>
        <v>42.9</v>
      </c>
      <c r="J86" s="43">
        <f t="shared" si="86"/>
        <v>152.9</v>
      </c>
      <c r="K86" s="41">
        <v>0.05</v>
      </c>
      <c r="L86" s="42">
        <f t="shared" si="87"/>
        <v>7.6450000000000005</v>
      </c>
      <c r="M86" s="45">
        <f t="shared" si="88"/>
        <v>160.54500000000002</v>
      </c>
      <c r="N86" s="39">
        <v>0.31</v>
      </c>
      <c r="O86" s="42">
        <f t="shared" si="89"/>
        <v>47.399000000000001</v>
      </c>
      <c r="P86" s="42">
        <f t="shared" si="90"/>
        <v>200.29900000000001</v>
      </c>
      <c r="Q86" s="39">
        <v>0.05</v>
      </c>
      <c r="R86" s="42">
        <f t="shared" si="91"/>
        <v>10.014950000000001</v>
      </c>
      <c r="S86" s="42">
        <f t="shared" si="92"/>
        <v>210.31395000000001</v>
      </c>
      <c r="T86" s="39">
        <v>0.28999999999999998</v>
      </c>
      <c r="U86" s="42">
        <f t="shared" si="93"/>
        <v>44.341000000000001</v>
      </c>
      <c r="V86" s="42">
        <f t="shared" si="94"/>
        <v>197.24100000000001</v>
      </c>
      <c r="W86" s="39">
        <v>0.05</v>
      </c>
      <c r="X86" s="42">
        <f t="shared" si="95"/>
        <v>9.8620500000000018</v>
      </c>
      <c r="Y86" s="42">
        <f t="shared" si="96"/>
        <v>207.10305000000002</v>
      </c>
      <c r="Z86" s="39">
        <v>0.12</v>
      </c>
      <c r="AA86" s="42">
        <f t="shared" si="97"/>
        <v>18.347999999999999</v>
      </c>
      <c r="AB86" s="42">
        <f t="shared" si="98"/>
        <v>171.24799999999999</v>
      </c>
      <c r="AC86" s="39">
        <v>0.05</v>
      </c>
      <c r="AD86" s="42">
        <f t="shared" si="99"/>
        <v>8.5624000000000002</v>
      </c>
      <c r="AE86" s="42">
        <f t="shared" si="100"/>
        <v>179.81039999999999</v>
      </c>
      <c r="AF86" s="39">
        <v>0.1</v>
      </c>
      <c r="AG86" s="42">
        <f t="shared" si="101"/>
        <v>15.290000000000001</v>
      </c>
      <c r="AH86" s="42">
        <f t="shared" si="102"/>
        <v>168.19</v>
      </c>
      <c r="AI86" s="39">
        <v>0.05</v>
      </c>
      <c r="AK86" s="42">
        <f t="shared" si="79"/>
        <v>8.4094999999999995</v>
      </c>
      <c r="AL86" s="42">
        <f t="shared" si="80"/>
        <v>176.59950000000001</v>
      </c>
      <c r="BN86" s="25">
        <f t="shared" si="84"/>
        <v>5.5</v>
      </c>
      <c r="BO86" s="19">
        <f t="shared" si="61"/>
        <v>115.5</v>
      </c>
      <c r="BP86" s="12">
        <f t="shared" si="58"/>
        <v>231</v>
      </c>
    </row>
    <row r="87" spans="2:68" x14ac:dyDescent="0.25">
      <c r="B87" s="13">
        <f t="shared" si="103"/>
        <v>67</v>
      </c>
      <c r="C87" s="17" t="s">
        <v>79</v>
      </c>
      <c r="D87" s="24">
        <v>1</v>
      </c>
      <c r="E87" s="24">
        <v>1</v>
      </c>
      <c r="F87" s="26">
        <f t="shared" si="83"/>
        <v>2</v>
      </c>
      <c r="G87" s="25">
        <v>110</v>
      </c>
      <c r="H87" s="41">
        <v>0.39</v>
      </c>
      <c r="I87" s="42">
        <f t="shared" si="85"/>
        <v>42.9</v>
      </c>
      <c r="J87" s="43">
        <f t="shared" si="86"/>
        <v>152.9</v>
      </c>
      <c r="K87" s="41">
        <v>0.05</v>
      </c>
      <c r="L87" s="42">
        <f t="shared" si="87"/>
        <v>7.6450000000000005</v>
      </c>
      <c r="M87" s="45">
        <f t="shared" si="88"/>
        <v>160.54500000000002</v>
      </c>
      <c r="N87" s="39">
        <v>0.31</v>
      </c>
      <c r="O87" s="42">
        <f t="shared" si="89"/>
        <v>47.399000000000001</v>
      </c>
      <c r="P87" s="42">
        <f t="shared" si="90"/>
        <v>200.29900000000001</v>
      </c>
      <c r="Q87" s="39">
        <v>0.05</v>
      </c>
      <c r="R87" s="42">
        <f t="shared" si="91"/>
        <v>10.014950000000001</v>
      </c>
      <c r="S87" s="42">
        <f t="shared" si="92"/>
        <v>210.31395000000001</v>
      </c>
      <c r="T87" s="39">
        <v>0.28999999999999998</v>
      </c>
      <c r="U87" s="42">
        <f t="shared" si="93"/>
        <v>44.341000000000001</v>
      </c>
      <c r="V87" s="42">
        <f t="shared" si="94"/>
        <v>197.24100000000001</v>
      </c>
      <c r="W87" s="39">
        <v>0.05</v>
      </c>
      <c r="X87" s="42">
        <f t="shared" si="95"/>
        <v>9.8620500000000018</v>
      </c>
      <c r="Y87" s="42">
        <f t="shared" si="96"/>
        <v>207.10305000000002</v>
      </c>
      <c r="Z87" s="39">
        <v>0.12</v>
      </c>
      <c r="AA87" s="42">
        <f t="shared" si="97"/>
        <v>18.347999999999999</v>
      </c>
      <c r="AB87" s="42">
        <f t="shared" si="98"/>
        <v>171.24799999999999</v>
      </c>
      <c r="AC87" s="39">
        <v>0.05</v>
      </c>
      <c r="AD87" s="42">
        <f t="shared" si="99"/>
        <v>8.5624000000000002</v>
      </c>
      <c r="AE87" s="42">
        <f t="shared" si="100"/>
        <v>179.81039999999999</v>
      </c>
      <c r="AF87" s="39">
        <v>0.1</v>
      </c>
      <c r="AG87" s="42">
        <f t="shared" si="101"/>
        <v>15.290000000000001</v>
      </c>
      <c r="AH87" s="42">
        <f t="shared" si="102"/>
        <v>168.19</v>
      </c>
      <c r="AI87" s="39">
        <v>0.05</v>
      </c>
      <c r="AK87" s="42">
        <f t="shared" si="79"/>
        <v>8.4094999999999995</v>
      </c>
      <c r="AL87" s="42">
        <f t="shared" si="80"/>
        <v>176.59950000000001</v>
      </c>
      <c r="BN87" s="25">
        <f t="shared" si="84"/>
        <v>5.5</v>
      </c>
      <c r="BO87" s="19">
        <f t="shared" si="61"/>
        <v>115.5</v>
      </c>
      <c r="BP87" s="12">
        <f t="shared" si="58"/>
        <v>231</v>
      </c>
    </row>
    <row r="88" spans="2:68" x14ac:dyDescent="0.25">
      <c r="B88" s="13">
        <f t="shared" si="103"/>
        <v>68</v>
      </c>
      <c r="C88" s="17" t="s">
        <v>80</v>
      </c>
      <c r="D88" s="24">
        <v>1</v>
      </c>
      <c r="E88" s="24">
        <v>1</v>
      </c>
      <c r="F88" s="26">
        <f t="shared" si="83"/>
        <v>2</v>
      </c>
      <c r="G88" s="25">
        <v>110</v>
      </c>
      <c r="H88" s="41">
        <v>0.39</v>
      </c>
      <c r="I88" s="42">
        <f t="shared" si="85"/>
        <v>42.9</v>
      </c>
      <c r="J88" s="43">
        <f t="shared" si="86"/>
        <v>152.9</v>
      </c>
      <c r="K88" s="41">
        <v>0.05</v>
      </c>
      <c r="L88" s="42">
        <f t="shared" si="87"/>
        <v>7.6450000000000005</v>
      </c>
      <c r="M88" s="45">
        <f t="shared" si="88"/>
        <v>160.54500000000002</v>
      </c>
      <c r="N88" s="39">
        <v>0.31</v>
      </c>
      <c r="O88" s="42">
        <f t="shared" si="89"/>
        <v>47.399000000000001</v>
      </c>
      <c r="P88" s="42">
        <f t="shared" si="90"/>
        <v>200.29900000000001</v>
      </c>
      <c r="Q88" s="39">
        <v>0.05</v>
      </c>
      <c r="R88" s="42">
        <f t="shared" si="91"/>
        <v>10.014950000000001</v>
      </c>
      <c r="S88" s="42">
        <f t="shared" si="92"/>
        <v>210.31395000000001</v>
      </c>
      <c r="T88" s="39">
        <v>0.28999999999999998</v>
      </c>
      <c r="U88" s="42">
        <f t="shared" si="93"/>
        <v>44.341000000000001</v>
      </c>
      <c r="V88" s="42">
        <f t="shared" si="94"/>
        <v>197.24100000000001</v>
      </c>
      <c r="W88" s="39">
        <v>0.05</v>
      </c>
      <c r="X88" s="42">
        <f t="shared" si="95"/>
        <v>9.8620500000000018</v>
      </c>
      <c r="Y88" s="42">
        <f t="shared" si="96"/>
        <v>207.10305000000002</v>
      </c>
      <c r="Z88" s="39">
        <v>0.12</v>
      </c>
      <c r="AA88" s="42">
        <f t="shared" si="97"/>
        <v>18.347999999999999</v>
      </c>
      <c r="AB88" s="42">
        <f t="shared" si="98"/>
        <v>171.24799999999999</v>
      </c>
      <c r="AC88" s="39">
        <v>0.05</v>
      </c>
      <c r="AD88" s="42">
        <f t="shared" si="99"/>
        <v>8.5624000000000002</v>
      </c>
      <c r="AE88" s="42">
        <f t="shared" si="100"/>
        <v>179.81039999999999</v>
      </c>
      <c r="AF88" s="39">
        <v>0.1</v>
      </c>
      <c r="AG88" s="42">
        <f t="shared" si="101"/>
        <v>15.290000000000001</v>
      </c>
      <c r="AH88" s="42">
        <f t="shared" si="102"/>
        <v>168.19</v>
      </c>
      <c r="AI88" s="39">
        <v>0.05</v>
      </c>
      <c r="AK88" s="42">
        <f t="shared" si="79"/>
        <v>8.4094999999999995</v>
      </c>
      <c r="AL88" s="42">
        <f t="shared" si="80"/>
        <v>176.59950000000001</v>
      </c>
      <c r="BN88" s="25">
        <f t="shared" si="84"/>
        <v>5.5</v>
      </c>
      <c r="BO88" s="19">
        <f t="shared" si="61"/>
        <v>115.5</v>
      </c>
      <c r="BP88" s="12">
        <f t="shared" si="58"/>
        <v>231</v>
      </c>
    </row>
    <row r="89" spans="2:68" x14ac:dyDescent="0.25">
      <c r="B89" s="13">
        <f t="shared" si="103"/>
        <v>69</v>
      </c>
      <c r="C89" s="17" t="s">
        <v>81</v>
      </c>
      <c r="D89" s="24">
        <v>1</v>
      </c>
      <c r="E89" s="24">
        <v>1</v>
      </c>
      <c r="F89" s="26">
        <f t="shared" si="83"/>
        <v>2</v>
      </c>
      <c r="G89" s="25">
        <v>110</v>
      </c>
      <c r="H89" s="41">
        <v>0.39</v>
      </c>
      <c r="I89" s="42">
        <f t="shared" si="85"/>
        <v>42.9</v>
      </c>
      <c r="J89" s="43">
        <f t="shared" si="86"/>
        <v>152.9</v>
      </c>
      <c r="K89" s="41">
        <v>0.05</v>
      </c>
      <c r="L89" s="42">
        <f t="shared" si="87"/>
        <v>7.6450000000000005</v>
      </c>
      <c r="M89" s="45">
        <f t="shared" si="88"/>
        <v>160.54500000000002</v>
      </c>
      <c r="N89" s="39">
        <v>0.31</v>
      </c>
      <c r="O89" s="42">
        <f t="shared" si="89"/>
        <v>47.399000000000001</v>
      </c>
      <c r="P89" s="42">
        <f t="shared" si="90"/>
        <v>200.29900000000001</v>
      </c>
      <c r="Q89" s="39">
        <v>0.05</v>
      </c>
      <c r="R89" s="42">
        <f t="shared" si="91"/>
        <v>10.014950000000001</v>
      </c>
      <c r="S89" s="42">
        <f t="shared" si="92"/>
        <v>210.31395000000001</v>
      </c>
      <c r="T89" s="39">
        <v>0.28999999999999998</v>
      </c>
      <c r="U89" s="42">
        <f t="shared" si="93"/>
        <v>44.341000000000001</v>
      </c>
      <c r="V89" s="42">
        <f t="shared" si="94"/>
        <v>197.24100000000001</v>
      </c>
      <c r="W89" s="39">
        <v>0.05</v>
      </c>
      <c r="X89" s="42">
        <f t="shared" si="95"/>
        <v>9.8620500000000018</v>
      </c>
      <c r="Y89" s="42">
        <f t="shared" si="96"/>
        <v>207.10305000000002</v>
      </c>
      <c r="Z89" s="39">
        <v>0.12</v>
      </c>
      <c r="AA89" s="42">
        <f t="shared" si="97"/>
        <v>18.347999999999999</v>
      </c>
      <c r="AB89" s="42">
        <f t="shared" si="98"/>
        <v>171.24799999999999</v>
      </c>
      <c r="AC89" s="39">
        <v>0.05</v>
      </c>
      <c r="AD89" s="42">
        <f t="shared" si="99"/>
        <v>8.5624000000000002</v>
      </c>
      <c r="AE89" s="42">
        <f t="shared" si="100"/>
        <v>179.81039999999999</v>
      </c>
      <c r="AF89" s="39">
        <v>0.1</v>
      </c>
      <c r="AG89" s="42">
        <f t="shared" si="101"/>
        <v>15.290000000000001</v>
      </c>
      <c r="AH89" s="42">
        <f t="shared" si="102"/>
        <v>168.19</v>
      </c>
      <c r="AI89" s="39">
        <v>0.05</v>
      </c>
      <c r="AK89" s="42">
        <f t="shared" si="79"/>
        <v>8.4094999999999995</v>
      </c>
      <c r="AL89" s="42">
        <f t="shared" si="80"/>
        <v>176.59950000000001</v>
      </c>
      <c r="BN89" s="25">
        <f t="shared" si="84"/>
        <v>5.5</v>
      </c>
      <c r="BO89" s="19">
        <f t="shared" si="61"/>
        <v>115.5</v>
      </c>
      <c r="BP89" s="12">
        <f t="shared" si="58"/>
        <v>231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2025-10-24T06:23:48Z</dcterms:created>
  <dcterms:modified xsi:type="dcterms:W3CDTF">2025-11-29T07:54:23Z</dcterms:modified>
</cp:coreProperties>
</file>