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hika\Desktop\Dental Sales Project\"/>
    </mc:Choice>
  </mc:AlternateContent>
  <xr:revisionPtr revIDLastSave="0" documentId="8_{FE7D489A-EB13-4509-B2C3-41DAFC3E27A3}" xr6:coauthVersionLast="47" xr6:coauthVersionMax="47" xr10:uidLastSave="{00000000-0000-0000-0000-000000000000}"/>
  <bookViews>
    <workbookView xWindow="-108" yWindow="-108" windowWidth="23256" windowHeight="13896" xr2:uid="{F744F162-6EE8-4CF2-9568-6C82817F92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2" i="1"/>
  <c r="I54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2" i="1"/>
  <c r="G54" i="1" s="1"/>
  <c r="I56" i="1" l="1"/>
</calcChain>
</file>

<file path=xl/sharedStrings.xml><?xml version="1.0" encoding="utf-8"?>
<sst xmlns="http://schemas.openxmlformats.org/spreadsheetml/2006/main" count="62" uniqueCount="62">
  <si>
    <t>Item &amp; Description</t>
  </si>
  <si>
    <t>Sodium Hypochlorite 5.2% Safeendo 500ml</t>
  </si>
  <si>
    <t>Cold Cure Liquid and Powder 400g Pyrex</t>
  </si>
  <si>
    <t>Developer 500ml Samit</t>
  </si>
  <si>
    <t>Radiopaque Calcium Hydroxide base and catalyst Dentsply</t>
  </si>
  <si>
    <t>Root Canal Sealer safe endo</t>
  </si>
  <si>
    <t>Root canal Sealer Bio ceramics RCS Safe Endo</t>
  </si>
  <si>
    <t>Eugenol DPI 110gm</t>
  </si>
  <si>
    <t>Fixer 500 ml Samit</t>
  </si>
  <si>
    <t>Denture Adhesive Powder ICPA</t>
  </si>
  <si>
    <t>GIC FILLING SHOFU</t>
  </si>
  <si>
    <t>GIC FILLING KETAC MOLAR 3M</t>
  </si>
  <si>
    <t>GIC LUTING KETAC CEM</t>
  </si>
  <si>
    <t>IMPRESSION COMPOUND CAKES Y DENT</t>
  </si>
  <si>
    <t>Impression Material Alginate Dust Free 450 GM ORIKAM</t>
  </si>
  <si>
    <t>Impression Material ZnoE DPI</t>
  </si>
  <si>
    <t>Modelling Wax MAARC</t>
  </si>
  <si>
    <t>Occlusal Film (Pack of 25) CARESTREAM</t>
  </si>
  <si>
    <t>Plugger 15-40 assorted MANI</t>
  </si>
  <si>
    <t>Polishing Paste 100 GM DPI</t>
  </si>
  <si>
    <t>POLY CARBOXYLATE PREVEST</t>
  </si>
  <si>
    <t>Temporary Filling ORA FILL G</t>
  </si>
  <si>
    <t>Articulating Paper MAARC (12 sheets each)</t>
  </si>
  <si>
    <t>Composite Syringe 3M Z250</t>
  </si>
  <si>
    <t>Crown and Bridge prep. kit Shofu</t>
  </si>
  <si>
    <t>DENTAL IOPA X RAY FILM PEDO Carestream (pack of 100)</t>
  </si>
  <si>
    <t>DENTAL IOPA X RAY FILM ADULT Carestream (pack of 150)</t>
  </si>
  <si>
    <t>KALABHAI DENTAL STONE 3KG PACK</t>
  </si>
  <si>
    <t>Diamond Bur Assorted MANI P/5</t>
  </si>
  <si>
    <t>Calcium Hydroxide Root Canal medicament 2GM AVUECAl</t>
  </si>
  <si>
    <t>DIE STONE KALABHAI (3KG/PACK) 2PC</t>
  </si>
  <si>
    <t>Dental Suction tips (100 tips)</t>
  </si>
  <si>
    <t>FLEXI FILES 15-40 K FILE MANI</t>
  </si>
  <si>
    <t>GP POINT 25-45 SET META REFILL</t>
  </si>
  <si>
    <t>GP POINT ASSORTED 15-80 SET META</t>
  </si>
  <si>
    <t>PARACORE COLTENE KIT</t>
  </si>
  <si>
    <t>FIBER POST KIT</t>
  </si>
  <si>
    <t>H FILES 10, 15-40 (21MM) MANI (10 SET EACH)</t>
  </si>
  <si>
    <t>H FILES ASSORTED SET 15-40 , 45-80 (21MM ) 10 SET EACH MANI</t>
  </si>
  <si>
    <t>K FILES SET 6, 10, 15-45 (4SET EACH) MANI</t>
  </si>
  <si>
    <t>K FILES ASSORTED 15-40 , 45-80 (20 SETS EACH) MANI</t>
  </si>
  <si>
    <t>PROTAPER HAND ASSORTED 21MM DENTSPLY</t>
  </si>
  <si>
    <t>PROTAPER HAND ASSORTED 25MM DENTSPLY</t>
  </si>
  <si>
    <t>GREEN STICK DPI (10 PACK)</t>
  </si>
  <si>
    <t>ZINC PHOSPHATE CEMENT PREVEST</t>
  </si>
  <si>
    <t>Cotton roll ORO (1000PC)</t>
  </si>
  <si>
    <t>PRO TAPER GP ASSORTED PACK META</t>
  </si>
  <si>
    <t>PRO TAPER GP(F2, F2 ,F3) META</t>
  </si>
  <si>
    <t>CALCIUM HYDROXIDE POWDER</t>
  </si>
  <si>
    <t>SELF SEALING STERI POUCH</t>
  </si>
  <si>
    <t>HYDROGEN PEROXIDE 400ML</t>
  </si>
  <si>
    <t>EXAMINATION GLOVES PRE PRE POWDERED</t>
  </si>
  <si>
    <t>EXAMINATION GLOVES POWDER FREE</t>
  </si>
  <si>
    <t>HSN/SAC</t>
  </si>
  <si>
    <t>Qty</t>
  </si>
  <si>
    <t>MRP</t>
  </si>
  <si>
    <t>Price to Primaria including GST</t>
  </si>
  <si>
    <t xml:space="preserve">Price to Customer including GST </t>
  </si>
  <si>
    <t xml:space="preserve">Total Values to Primaria </t>
  </si>
  <si>
    <t>Total Values to End Customer</t>
  </si>
  <si>
    <t xml:space="preserve">Profit 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</si>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</sst>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 Black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40D8E-9BE9-4CEC-99AA-37770B6C3EB4}">
  <dimension ref="A1:I56"/>
  <sheetViews>
    <sheetView tabSelected="1" workbookViewId="0">
      <selection activeCell="L8" sqref="L8"/>
    </sheetView>
  </sheetViews>
  <sheetFormatPr defaultRowHeight="14.4" x14ac:dyDescent="0.3"/>
  <cols>
    <col min="1" max="1" width="8.88671875" style="1"/>
    <col min="2" max="2" width="54.6640625" style="1" bestFit="1" customWidth="1"/>
    <col min="3" max="3" width="10.88671875" style="1" bestFit="1" customWidth="1"/>
    <col min="4" max="5" width="8.88671875" style="1"/>
    <col min="6" max="6" width="17.21875" style="1" bestFit="1" customWidth="1"/>
    <col min="7" max="7" width="17.21875" style="1" customWidth="1"/>
    <col min="8" max="8" width="24.21875" style="1" bestFit="1" customWidth="1"/>
    <col min="9" max="9" width="13.6640625" style="1" customWidth="1"/>
    <col min="10" max="16384" width="8.88671875" style="1"/>
  </cols>
  <sheetData>
    <row r="1" spans="1:9" ht="69.599999999999994" x14ac:dyDescent="0.3">
      <c r="A1" s="9" t="s">
        <v>61</v>
      </c>
      <c r="B1" s="2" t="s">
        <v>0</v>
      </c>
      <c r="C1" s="2" t="s">
        <v>53</v>
      </c>
      <c r="D1" s="2" t="s">
        <v>54</v>
      </c>
      <c r="E1" s="2" t="s">
        <v>55</v>
      </c>
      <c r="F1" s="3" t="s">
        <v>56</v>
      </c>
      <c r="G1" s="3" t="s">
        <v>58</v>
      </c>
      <c r="H1" s="3" t="s">
        <v>57</v>
      </c>
      <c r="I1" s="3" t="s">
        <v>59</v>
      </c>
    </row>
    <row r="2" spans="1:9" x14ac:dyDescent="0.3">
      <c r="A2" s="4">
        <v>1</v>
      </c>
      <c r="B2" s="4" t="s">
        <v>1</v>
      </c>
      <c r="C2" s="5">
        <v>30064000</v>
      </c>
      <c r="D2" s="5">
        <v>10</v>
      </c>
      <c r="E2" s="5">
        <v>300</v>
      </c>
      <c r="F2" s="6">
        <v>293.44</v>
      </c>
      <c r="G2" s="6">
        <f>D2*F2</f>
        <v>2934.4</v>
      </c>
      <c r="H2" s="5">
        <v>300</v>
      </c>
      <c r="I2" s="4">
        <f>D2*H2</f>
        <v>3000</v>
      </c>
    </row>
    <row r="3" spans="1:9" x14ac:dyDescent="0.3">
      <c r="A3" s="4">
        <v>2</v>
      </c>
      <c r="B3" s="4" t="s">
        <v>2</v>
      </c>
      <c r="C3" s="5">
        <v>39069090</v>
      </c>
      <c r="D3" s="5">
        <v>5</v>
      </c>
      <c r="E3" s="5">
        <v>1475</v>
      </c>
      <c r="F3" s="6">
        <v>1292.0999999999999</v>
      </c>
      <c r="G3" s="6">
        <f t="shared" ref="G3:G53" si="0">D3*F3</f>
        <v>6460.5</v>
      </c>
      <c r="H3" s="5">
        <v>1400</v>
      </c>
      <c r="I3" s="4">
        <f t="shared" ref="I3:I53" si="1">D3*H3</f>
        <v>7000</v>
      </c>
    </row>
    <row r="4" spans="1:9" x14ac:dyDescent="0.3">
      <c r="A4" s="4">
        <v>3</v>
      </c>
      <c r="B4" s="4" t="s">
        <v>3</v>
      </c>
      <c r="C4" s="5">
        <v>37079090</v>
      </c>
      <c r="D4" s="5">
        <v>10</v>
      </c>
      <c r="E4" s="5">
        <v>200</v>
      </c>
      <c r="F4" s="6">
        <v>182.78399999999999</v>
      </c>
      <c r="G4" s="6">
        <f t="shared" si="0"/>
        <v>1827.84</v>
      </c>
      <c r="H4" s="5">
        <v>200</v>
      </c>
      <c r="I4" s="4">
        <f t="shared" si="1"/>
        <v>2000</v>
      </c>
    </row>
    <row r="5" spans="1:9" x14ac:dyDescent="0.3">
      <c r="A5" s="4">
        <v>4</v>
      </c>
      <c r="B5" s="4" t="s">
        <v>4</v>
      </c>
      <c r="C5" s="5">
        <v>30064000</v>
      </c>
      <c r="D5" s="5">
        <v>4</v>
      </c>
      <c r="E5" s="5">
        <v>2660</v>
      </c>
      <c r="F5" s="6">
        <v>2284.8000000000002</v>
      </c>
      <c r="G5" s="6">
        <f t="shared" si="0"/>
        <v>9139.2000000000007</v>
      </c>
      <c r="H5" s="5">
        <v>2500</v>
      </c>
      <c r="I5" s="4">
        <f t="shared" si="1"/>
        <v>10000</v>
      </c>
    </row>
    <row r="6" spans="1:9" x14ac:dyDescent="0.3">
      <c r="A6" s="4">
        <v>5</v>
      </c>
      <c r="B6" s="4" t="s">
        <v>5</v>
      </c>
      <c r="C6" s="5">
        <v>30064000</v>
      </c>
      <c r="D6" s="5">
        <v>4</v>
      </c>
      <c r="E6" s="5">
        <v>1800</v>
      </c>
      <c r="F6" s="6">
        <v>1680</v>
      </c>
      <c r="G6" s="6">
        <f t="shared" si="0"/>
        <v>6720</v>
      </c>
      <c r="H6" s="5">
        <v>1750</v>
      </c>
      <c r="I6" s="4">
        <f t="shared" si="1"/>
        <v>7000</v>
      </c>
    </row>
    <row r="7" spans="1:9" x14ac:dyDescent="0.3">
      <c r="A7" s="4">
        <v>6</v>
      </c>
      <c r="B7" s="4" t="s">
        <v>6</v>
      </c>
      <c r="C7" s="5">
        <v>30064000</v>
      </c>
      <c r="D7" s="5">
        <v>4</v>
      </c>
      <c r="E7" s="5">
        <v>3120</v>
      </c>
      <c r="F7" s="6">
        <v>2912</v>
      </c>
      <c r="G7" s="6">
        <f t="shared" si="0"/>
        <v>11648</v>
      </c>
      <c r="H7" s="5">
        <v>3000</v>
      </c>
      <c r="I7" s="4">
        <f t="shared" si="1"/>
        <v>12000</v>
      </c>
    </row>
    <row r="8" spans="1:9" x14ac:dyDescent="0.3">
      <c r="A8" s="4">
        <v>7</v>
      </c>
      <c r="B8" s="4" t="s">
        <v>7</v>
      </c>
      <c r="C8" s="5">
        <v>29095020</v>
      </c>
      <c r="D8" s="5">
        <v>1</v>
      </c>
      <c r="E8" s="5">
        <v>725</v>
      </c>
      <c r="F8" s="6">
        <v>724.52</v>
      </c>
      <c r="G8" s="6">
        <f t="shared" si="0"/>
        <v>724.52</v>
      </c>
      <c r="H8" s="5">
        <v>725</v>
      </c>
      <c r="I8" s="4">
        <f t="shared" si="1"/>
        <v>725</v>
      </c>
    </row>
    <row r="9" spans="1:9" x14ac:dyDescent="0.3">
      <c r="A9" s="4">
        <v>8</v>
      </c>
      <c r="B9" s="4" t="s">
        <v>8</v>
      </c>
      <c r="C9" s="5">
        <v>30049099</v>
      </c>
      <c r="D9" s="5">
        <v>12</v>
      </c>
      <c r="E9" s="5">
        <v>190</v>
      </c>
      <c r="F9" s="6">
        <v>189.98</v>
      </c>
      <c r="G9" s="6">
        <f t="shared" si="0"/>
        <v>2279.7599999999998</v>
      </c>
      <c r="H9" s="5">
        <v>190</v>
      </c>
      <c r="I9" s="4">
        <f t="shared" si="1"/>
        <v>2280</v>
      </c>
    </row>
    <row r="10" spans="1:9" x14ac:dyDescent="0.3">
      <c r="A10" s="4">
        <v>9</v>
      </c>
      <c r="B10" s="4" t="s">
        <v>9</v>
      </c>
      <c r="C10" s="5">
        <v>33061010</v>
      </c>
      <c r="D10" s="5">
        <v>10</v>
      </c>
      <c r="E10" s="5">
        <v>53.5</v>
      </c>
      <c r="F10" s="6">
        <v>53.1</v>
      </c>
      <c r="G10" s="6">
        <f t="shared" si="0"/>
        <v>531</v>
      </c>
      <c r="H10" s="5">
        <v>53.5</v>
      </c>
      <c r="I10" s="4">
        <f t="shared" si="1"/>
        <v>535</v>
      </c>
    </row>
    <row r="11" spans="1:9" x14ac:dyDescent="0.3">
      <c r="A11" s="4">
        <v>10</v>
      </c>
      <c r="B11" s="4" t="s">
        <v>10</v>
      </c>
      <c r="C11" s="5">
        <v>30064000</v>
      </c>
      <c r="D11" s="5">
        <v>5</v>
      </c>
      <c r="E11" s="5">
        <v>1340</v>
      </c>
      <c r="F11" s="6">
        <v>1316</v>
      </c>
      <c r="G11" s="6">
        <f t="shared" si="0"/>
        <v>6580</v>
      </c>
      <c r="H11" s="5">
        <v>1340</v>
      </c>
      <c r="I11" s="4">
        <f t="shared" si="1"/>
        <v>6700</v>
      </c>
    </row>
    <row r="12" spans="1:9" x14ac:dyDescent="0.3">
      <c r="A12" s="4">
        <v>11</v>
      </c>
      <c r="B12" s="4" t="s">
        <v>11</v>
      </c>
      <c r="C12" s="5">
        <v>30064000</v>
      </c>
      <c r="D12" s="5">
        <v>5</v>
      </c>
      <c r="E12" s="5">
        <v>3280</v>
      </c>
      <c r="F12" s="6">
        <v>2688</v>
      </c>
      <c r="G12" s="6">
        <f t="shared" si="0"/>
        <v>13440</v>
      </c>
      <c r="H12" s="5">
        <v>3000</v>
      </c>
      <c r="I12" s="4">
        <f t="shared" si="1"/>
        <v>15000</v>
      </c>
    </row>
    <row r="13" spans="1:9" x14ac:dyDescent="0.3">
      <c r="A13" s="4">
        <v>12</v>
      </c>
      <c r="B13" s="4" t="s">
        <v>12</v>
      </c>
      <c r="C13" s="5">
        <v>30064000</v>
      </c>
      <c r="D13" s="5">
        <v>5</v>
      </c>
      <c r="E13" s="5">
        <v>4490</v>
      </c>
      <c r="F13" s="6">
        <v>3864</v>
      </c>
      <c r="G13" s="6">
        <f t="shared" si="0"/>
        <v>19320</v>
      </c>
      <c r="H13" s="5">
        <v>4100</v>
      </c>
      <c r="I13" s="4">
        <f t="shared" si="1"/>
        <v>20500</v>
      </c>
    </row>
    <row r="14" spans="1:9" x14ac:dyDescent="0.3">
      <c r="A14" s="4">
        <v>13</v>
      </c>
      <c r="B14" s="4" t="s">
        <v>13</v>
      </c>
      <c r="C14" s="5">
        <v>34070090</v>
      </c>
      <c r="D14" s="5">
        <v>10</v>
      </c>
      <c r="E14" s="5">
        <v>240</v>
      </c>
      <c r="F14" s="6">
        <v>196</v>
      </c>
      <c r="G14" s="6">
        <f t="shared" si="0"/>
        <v>1960</v>
      </c>
      <c r="H14" s="5">
        <v>220</v>
      </c>
      <c r="I14" s="4">
        <f t="shared" si="1"/>
        <v>2200</v>
      </c>
    </row>
    <row r="15" spans="1:9" x14ac:dyDescent="0.3">
      <c r="A15" s="4">
        <v>14</v>
      </c>
      <c r="B15" s="4" t="s">
        <v>14</v>
      </c>
      <c r="C15" s="5">
        <v>34070090</v>
      </c>
      <c r="D15" s="5">
        <v>40</v>
      </c>
      <c r="E15" s="5">
        <v>570</v>
      </c>
      <c r="F15" s="6">
        <v>383.5</v>
      </c>
      <c r="G15" s="6">
        <f t="shared" si="0"/>
        <v>15340</v>
      </c>
      <c r="H15" s="5">
        <v>490</v>
      </c>
      <c r="I15" s="4">
        <f t="shared" si="1"/>
        <v>19600</v>
      </c>
    </row>
    <row r="16" spans="1:9" x14ac:dyDescent="0.3">
      <c r="A16" s="4">
        <v>15</v>
      </c>
      <c r="B16" s="4" t="s">
        <v>15</v>
      </c>
      <c r="C16" s="5">
        <v>34070090</v>
      </c>
      <c r="D16" s="5">
        <v>10</v>
      </c>
      <c r="E16" s="5">
        <v>575</v>
      </c>
      <c r="F16" s="6">
        <v>536.9</v>
      </c>
      <c r="G16" s="6">
        <f t="shared" si="0"/>
        <v>5369</v>
      </c>
      <c r="H16" s="5">
        <v>550</v>
      </c>
      <c r="I16" s="4">
        <f t="shared" si="1"/>
        <v>5500</v>
      </c>
    </row>
    <row r="17" spans="1:9" x14ac:dyDescent="0.3">
      <c r="A17" s="4">
        <v>16</v>
      </c>
      <c r="B17" s="4" t="s">
        <v>16</v>
      </c>
      <c r="C17" s="5">
        <v>34070090</v>
      </c>
      <c r="D17" s="5">
        <v>5</v>
      </c>
      <c r="E17" s="5">
        <v>220</v>
      </c>
      <c r="F17" s="6">
        <v>162.4</v>
      </c>
      <c r="G17" s="6">
        <f t="shared" si="0"/>
        <v>812</v>
      </c>
      <c r="H17" s="5">
        <v>199</v>
      </c>
      <c r="I17" s="4">
        <f t="shared" si="1"/>
        <v>995</v>
      </c>
    </row>
    <row r="18" spans="1:9" x14ac:dyDescent="0.3">
      <c r="A18" s="4">
        <v>17</v>
      </c>
      <c r="B18" s="4" t="s">
        <v>17</v>
      </c>
      <c r="C18" s="5">
        <v>37011010</v>
      </c>
      <c r="D18" s="5">
        <v>2</v>
      </c>
      <c r="E18" s="5">
        <v>4525.25</v>
      </c>
      <c r="F18" s="6">
        <v>4425</v>
      </c>
      <c r="G18" s="6">
        <f t="shared" si="0"/>
        <v>8850</v>
      </c>
      <c r="H18" s="5">
        <v>4500</v>
      </c>
      <c r="I18" s="4">
        <f t="shared" si="1"/>
        <v>9000</v>
      </c>
    </row>
    <row r="19" spans="1:9" x14ac:dyDescent="0.3">
      <c r="A19" s="4">
        <v>18</v>
      </c>
      <c r="B19" s="4" t="s">
        <v>18</v>
      </c>
      <c r="C19" s="5">
        <v>90184900</v>
      </c>
      <c r="D19" s="5">
        <v>2</v>
      </c>
      <c r="E19" s="5">
        <v>375</v>
      </c>
      <c r="F19" s="6">
        <v>358.4</v>
      </c>
      <c r="G19" s="6">
        <f t="shared" si="0"/>
        <v>716.8</v>
      </c>
      <c r="H19" s="5">
        <v>370</v>
      </c>
      <c r="I19" s="4">
        <f t="shared" si="1"/>
        <v>740</v>
      </c>
    </row>
    <row r="20" spans="1:9" x14ac:dyDescent="0.3">
      <c r="A20" s="4">
        <v>19</v>
      </c>
      <c r="B20" s="4" t="s">
        <v>19</v>
      </c>
      <c r="C20" s="5">
        <v>34070090</v>
      </c>
      <c r="D20" s="5">
        <v>2</v>
      </c>
      <c r="E20" s="5">
        <v>175</v>
      </c>
      <c r="F20" s="6">
        <v>165.2</v>
      </c>
      <c r="G20" s="6">
        <f t="shared" si="0"/>
        <v>330.4</v>
      </c>
      <c r="H20" s="5">
        <v>170</v>
      </c>
      <c r="I20" s="4">
        <f t="shared" si="1"/>
        <v>340</v>
      </c>
    </row>
    <row r="21" spans="1:9" x14ac:dyDescent="0.3">
      <c r="A21" s="4">
        <v>20</v>
      </c>
      <c r="B21" s="4" t="s">
        <v>20</v>
      </c>
      <c r="C21" s="5">
        <v>30064000</v>
      </c>
      <c r="D21" s="5">
        <v>2</v>
      </c>
      <c r="E21" s="5">
        <v>570</v>
      </c>
      <c r="F21" s="6">
        <v>537.6</v>
      </c>
      <c r="G21" s="6">
        <f t="shared" si="0"/>
        <v>1075.2</v>
      </c>
      <c r="H21" s="5">
        <v>560</v>
      </c>
      <c r="I21" s="4">
        <f t="shared" si="1"/>
        <v>1120</v>
      </c>
    </row>
    <row r="22" spans="1:9" x14ac:dyDescent="0.3">
      <c r="A22" s="4">
        <v>21</v>
      </c>
      <c r="B22" s="4" t="s">
        <v>21</v>
      </c>
      <c r="C22" s="5">
        <v>30064000</v>
      </c>
      <c r="D22" s="5">
        <v>10</v>
      </c>
      <c r="E22" s="5">
        <v>322</v>
      </c>
      <c r="F22" s="6">
        <v>224</v>
      </c>
      <c r="G22" s="6">
        <f t="shared" si="0"/>
        <v>2240</v>
      </c>
      <c r="H22" s="5">
        <v>300</v>
      </c>
      <c r="I22" s="4">
        <f t="shared" si="1"/>
        <v>3000</v>
      </c>
    </row>
    <row r="23" spans="1:9" x14ac:dyDescent="0.3">
      <c r="A23" s="4">
        <v>22</v>
      </c>
      <c r="B23" s="4" t="s">
        <v>22</v>
      </c>
      <c r="C23" s="5">
        <v>48239090</v>
      </c>
      <c r="D23" s="5">
        <v>50</v>
      </c>
      <c r="E23" s="5">
        <v>550</v>
      </c>
      <c r="F23" s="6">
        <v>501.5</v>
      </c>
      <c r="G23" s="6">
        <f t="shared" si="0"/>
        <v>25075</v>
      </c>
      <c r="H23" s="5">
        <v>540</v>
      </c>
      <c r="I23" s="4">
        <f t="shared" si="1"/>
        <v>27000</v>
      </c>
    </row>
    <row r="24" spans="1:9" x14ac:dyDescent="0.3">
      <c r="A24" s="4">
        <v>23</v>
      </c>
      <c r="B24" s="4" t="s">
        <v>23</v>
      </c>
      <c r="C24" s="5">
        <v>30064000</v>
      </c>
      <c r="D24" s="5">
        <v>5</v>
      </c>
      <c r="E24" s="5">
        <v>1950</v>
      </c>
      <c r="F24" s="6">
        <v>1848</v>
      </c>
      <c r="G24" s="6">
        <f t="shared" si="0"/>
        <v>9240</v>
      </c>
      <c r="H24" s="5">
        <v>1925</v>
      </c>
      <c r="I24" s="4">
        <f t="shared" si="1"/>
        <v>9625</v>
      </c>
    </row>
    <row r="25" spans="1:9" x14ac:dyDescent="0.3">
      <c r="A25" s="4">
        <v>24</v>
      </c>
      <c r="B25" s="4" t="s">
        <v>24</v>
      </c>
      <c r="C25" s="5">
        <v>90184900</v>
      </c>
      <c r="D25" s="5">
        <v>2</v>
      </c>
      <c r="E25" s="5">
        <v>4580</v>
      </c>
      <c r="F25" s="6">
        <v>4323.2</v>
      </c>
      <c r="G25" s="6">
        <f t="shared" si="0"/>
        <v>8646.4</v>
      </c>
      <c r="H25" s="5">
        <v>4500</v>
      </c>
      <c r="I25" s="4">
        <f t="shared" si="1"/>
        <v>9000</v>
      </c>
    </row>
    <row r="26" spans="1:9" x14ac:dyDescent="0.3">
      <c r="A26" s="4">
        <v>25</v>
      </c>
      <c r="B26" s="4" t="s">
        <v>25</v>
      </c>
      <c r="C26" s="5">
        <v>37011010</v>
      </c>
      <c r="D26" s="5">
        <v>1</v>
      </c>
      <c r="E26" s="5">
        <v>3795</v>
      </c>
      <c r="F26" s="6">
        <v>3795</v>
      </c>
      <c r="G26" s="6">
        <f t="shared" si="0"/>
        <v>3795</v>
      </c>
      <c r="H26" s="5">
        <v>3795</v>
      </c>
      <c r="I26" s="4">
        <f t="shared" si="1"/>
        <v>3795</v>
      </c>
    </row>
    <row r="27" spans="1:9" x14ac:dyDescent="0.3">
      <c r="A27" s="4">
        <v>26</v>
      </c>
      <c r="B27" s="4" t="s">
        <v>26</v>
      </c>
      <c r="C27" s="5">
        <v>37011010</v>
      </c>
      <c r="D27" s="5">
        <v>10</v>
      </c>
      <c r="E27" s="5">
        <v>3892</v>
      </c>
      <c r="F27" s="6">
        <v>3769.92</v>
      </c>
      <c r="G27" s="6">
        <f t="shared" si="0"/>
        <v>37699.199999999997</v>
      </c>
      <c r="H27" s="5">
        <v>3850</v>
      </c>
      <c r="I27" s="4">
        <f t="shared" si="1"/>
        <v>38500</v>
      </c>
    </row>
    <row r="28" spans="1:9" x14ac:dyDescent="0.3">
      <c r="A28" s="4">
        <v>27</v>
      </c>
      <c r="B28" s="4" t="s">
        <v>27</v>
      </c>
      <c r="C28" s="5">
        <v>25201090</v>
      </c>
      <c r="D28" s="5">
        <v>7</v>
      </c>
      <c r="E28" s="5">
        <v>500</v>
      </c>
      <c r="F28" s="6">
        <v>367.5</v>
      </c>
      <c r="G28" s="6">
        <f t="shared" si="0"/>
        <v>2572.5</v>
      </c>
      <c r="H28" s="5">
        <v>425</v>
      </c>
      <c r="I28" s="4">
        <f t="shared" si="1"/>
        <v>2975</v>
      </c>
    </row>
    <row r="29" spans="1:9" x14ac:dyDescent="0.3">
      <c r="A29" s="4">
        <v>28</v>
      </c>
      <c r="B29" s="4" t="s">
        <v>28</v>
      </c>
      <c r="C29" s="5">
        <v>90184900</v>
      </c>
      <c r="D29" s="5">
        <v>50</v>
      </c>
      <c r="E29" s="5">
        <v>444</v>
      </c>
      <c r="F29" s="6">
        <v>364</v>
      </c>
      <c r="G29" s="6">
        <f t="shared" si="0"/>
        <v>18200</v>
      </c>
      <c r="H29" s="5">
        <v>400</v>
      </c>
      <c r="I29" s="4">
        <f t="shared" si="1"/>
        <v>20000</v>
      </c>
    </row>
    <row r="30" spans="1:9" x14ac:dyDescent="0.3">
      <c r="A30" s="4">
        <v>29</v>
      </c>
      <c r="B30" s="4" t="s">
        <v>29</v>
      </c>
      <c r="C30" s="5">
        <v>30064000</v>
      </c>
      <c r="D30" s="5">
        <v>200</v>
      </c>
      <c r="E30" s="5">
        <v>200</v>
      </c>
      <c r="F30" s="6">
        <v>171.36</v>
      </c>
      <c r="G30" s="6">
        <f t="shared" si="0"/>
        <v>34272</v>
      </c>
      <c r="H30" s="5">
        <v>195</v>
      </c>
      <c r="I30" s="4">
        <f t="shared" si="1"/>
        <v>39000</v>
      </c>
    </row>
    <row r="31" spans="1:9" x14ac:dyDescent="0.3">
      <c r="A31" s="4">
        <v>30</v>
      </c>
      <c r="B31" s="4" t="s">
        <v>30</v>
      </c>
      <c r="C31" s="5">
        <v>25201090</v>
      </c>
      <c r="D31" s="5">
        <v>5</v>
      </c>
      <c r="E31" s="5">
        <v>650</v>
      </c>
      <c r="F31" s="6">
        <v>585.9</v>
      </c>
      <c r="G31" s="6">
        <f t="shared" si="0"/>
        <v>2929.5</v>
      </c>
      <c r="H31" s="5">
        <v>625</v>
      </c>
      <c r="I31" s="4">
        <f t="shared" si="1"/>
        <v>3125</v>
      </c>
    </row>
    <row r="32" spans="1:9" x14ac:dyDescent="0.3">
      <c r="A32" s="4">
        <v>31</v>
      </c>
      <c r="B32" s="4" t="s">
        <v>31</v>
      </c>
      <c r="C32" s="5">
        <v>90184900</v>
      </c>
      <c r="D32" s="5">
        <v>5</v>
      </c>
      <c r="E32" s="5">
        <v>250</v>
      </c>
      <c r="F32" s="6">
        <v>196</v>
      </c>
      <c r="G32" s="6">
        <f t="shared" si="0"/>
        <v>980</v>
      </c>
      <c r="H32" s="5">
        <v>225</v>
      </c>
      <c r="I32" s="4">
        <f t="shared" si="1"/>
        <v>1125</v>
      </c>
    </row>
    <row r="33" spans="1:9" x14ac:dyDescent="0.3">
      <c r="A33" s="4">
        <v>32</v>
      </c>
      <c r="B33" s="4" t="s">
        <v>32</v>
      </c>
      <c r="C33" s="5">
        <v>90184900</v>
      </c>
      <c r="D33" s="5">
        <v>15</v>
      </c>
      <c r="E33" s="5">
        <v>405</v>
      </c>
      <c r="F33" s="6">
        <v>380.8</v>
      </c>
      <c r="G33" s="6">
        <f t="shared" si="0"/>
        <v>5712</v>
      </c>
      <c r="H33" s="5">
        <v>400</v>
      </c>
      <c r="I33" s="4">
        <f t="shared" si="1"/>
        <v>6000</v>
      </c>
    </row>
    <row r="34" spans="1:9" x14ac:dyDescent="0.3">
      <c r="A34" s="4">
        <v>33</v>
      </c>
      <c r="B34" s="4" t="s">
        <v>33</v>
      </c>
      <c r="C34" s="5">
        <v>30064010</v>
      </c>
      <c r="D34" s="5">
        <v>1</v>
      </c>
      <c r="E34" s="5">
        <v>300</v>
      </c>
      <c r="F34" s="6">
        <v>257.60000000000002</v>
      </c>
      <c r="G34" s="6">
        <f t="shared" si="0"/>
        <v>257.60000000000002</v>
      </c>
      <c r="H34" s="5">
        <v>280</v>
      </c>
      <c r="I34" s="4">
        <f t="shared" si="1"/>
        <v>280</v>
      </c>
    </row>
    <row r="35" spans="1:9" x14ac:dyDescent="0.3">
      <c r="A35" s="4">
        <v>34</v>
      </c>
      <c r="B35" s="4" t="s">
        <v>34</v>
      </c>
      <c r="C35" s="5">
        <v>30064010</v>
      </c>
      <c r="D35" s="5">
        <v>10</v>
      </c>
      <c r="E35" s="5">
        <v>300</v>
      </c>
      <c r="F35" s="6">
        <v>257.60000000000002</v>
      </c>
      <c r="G35" s="6">
        <f t="shared" si="0"/>
        <v>2576</v>
      </c>
      <c r="H35" s="5">
        <v>280</v>
      </c>
      <c r="I35" s="4">
        <f t="shared" si="1"/>
        <v>2800</v>
      </c>
    </row>
    <row r="36" spans="1:9" x14ac:dyDescent="0.3">
      <c r="A36" s="4">
        <v>35</v>
      </c>
      <c r="B36" s="4" t="s">
        <v>35</v>
      </c>
      <c r="C36" s="5">
        <v>30064000</v>
      </c>
      <c r="D36" s="5">
        <v>1</v>
      </c>
      <c r="E36" s="5">
        <v>16500</v>
      </c>
      <c r="F36" s="6">
        <v>14560</v>
      </c>
      <c r="G36" s="6">
        <f t="shared" si="0"/>
        <v>14560</v>
      </c>
      <c r="H36" s="5">
        <v>16000</v>
      </c>
      <c r="I36" s="4">
        <f t="shared" si="1"/>
        <v>16000</v>
      </c>
    </row>
    <row r="37" spans="1:9" x14ac:dyDescent="0.3">
      <c r="A37" s="4">
        <v>36</v>
      </c>
      <c r="B37" s="4" t="s">
        <v>36</v>
      </c>
      <c r="C37" s="5">
        <v>90184900</v>
      </c>
      <c r="D37" s="5">
        <v>2</v>
      </c>
      <c r="E37" s="5">
        <v>1000</v>
      </c>
      <c r="F37" s="6">
        <v>761.6</v>
      </c>
      <c r="G37" s="6">
        <f t="shared" si="0"/>
        <v>1523.2</v>
      </c>
      <c r="H37" s="5">
        <v>850</v>
      </c>
      <c r="I37" s="4">
        <f t="shared" si="1"/>
        <v>1700</v>
      </c>
    </row>
    <row r="38" spans="1:9" x14ac:dyDescent="0.3">
      <c r="A38" s="4">
        <v>37</v>
      </c>
      <c r="B38" s="4" t="s">
        <v>37</v>
      </c>
      <c r="C38" s="5">
        <v>90184900</v>
      </c>
      <c r="D38" s="5">
        <v>10</v>
      </c>
      <c r="E38" s="5">
        <v>309</v>
      </c>
      <c r="F38" s="6">
        <v>280</v>
      </c>
      <c r="G38" s="6">
        <f t="shared" si="0"/>
        <v>2800</v>
      </c>
      <c r="H38" s="5">
        <v>300</v>
      </c>
      <c r="I38" s="4">
        <f t="shared" si="1"/>
        <v>3000</v>
      </c>
    </row>
    <row r="39" spans="1:9" x14ac:dyDescent="0.3">
      <c r="A39" s="4">
        <v>38</v>
      </c>
      <c r="B39" s="4" t="s">
        <v>38</v>
      </c>
      <c r="C39" s="5">
        <v>90184900</v>
      </c>
      <c r="D39" s="5">
        <v>10</v>
      </c>
      <c r="E39" s="5">
        <v>309</v>
      </c>
      <c r="F39" s="6">
        <v>280</v>
      </c>
      <c r="G39" s="6">
        <f t="shared" si="0"/>
        <v>2800</v>
      </c>
      <c r="H39" s="5">
        <v>300</v>
      </c>
      <c r="I39" s="4">
        <f t="shared" si="1"/>
        <v>3000</v>
      </c>
    </row>
    <row r="40" spans="1:9" x14ac:dyDescent="0.3">
      <c r="A40" s="4">
        <v>39</v>
      </c>
      <c r="B40" s="4" t="s">
        <v>39</v>
      </c>
      <c r="C40" s="5">
        <v>90184900</v>
      </c>
      <c r="D40" s="5">
        <v>4</v>
      </c>
      <c r="E40" s="5">
        <v>309</v>
      </c>
      <c r="F40" s="6">
        <v>280</v>
      </c>
      <c r="G40" s="6">
        <f t="shared" si="0"/>
        <v>1120</v>
      </c>
      <c r="H40" s="5">
        <v>300</v>
      </c>
      <c r="I40" s="4">
        <f t="shared" si="1"/>
        <v>1200</v>
      </c>
    </row>
    <row r="41" spans="1:9" x14ac:dyDescent="0.3">
      <c r="A41" s="4">
        <v>40</v>
      </c>
      <c r="B41" s="4" t="s">
        <v>40</v>
      </c>
      <c r="C41" s="5">
        <v>90184900</v>
      </c>
      <c r="D41" s="5">
        <v>20</v>
      </c>
      <c r="E41" s="5">
        <v>309</v>
      </c>
      <c r="F41" s="6">
        <v>280</v>
      </c>
      <c r="G41" s="6">
        <f t="shared" si="0"/>
        <v>5600</v>
      </c>
      <c r="H41" s="5">
        <v>300</v>
      </c>
      <c r="I41" s="4">
        <f t="shared" si="1"/>
        <v>6000</v>
      </c>
    </row>
    <row r="42" spans="1:9" x14ac:dyDescent="0.3">
      <c r="A42" s="4">
        <v>41</v>
      </c>
      <c r="B42" s="4" t="s">
        <v>41</v>
      </c>
      <c r="C42" s="5">
        <v>90184900</v>
      </c>
      <c r="D42" s="5">
        <v>10</v>
      </c>
      <c r="E42" s="5">
        <v>4555</v>
      </c>
      <c r="F42" s="6">
        <v>3998.4</v>
      </c>
      <c r="G42" s="6">
        <f t="shared" si="0"/>
        <v>39984</v>
      </c>
      <c r="H42" s="5">
        <v>4400</v>
      </c>
      <c r="I42" s="4">
        <f t="shared" si="1"/>
        <v>44000</v>
      </c>
    </row>
    <row r="43" spans="1:9" x14ac:dyDescent="0.3">
      <c r="A43" s="4">
        <v>42</v>
      </c>
      <c r="B43" s="4" t="s">
        <v>42</v>
      </c>
      <c r="C43" s="5">
        <v>90184900</v>
      </c>
      <c r="D43" s="5">
        <v>2</v>
      </c>
      <c r="E43" s="5">
        <v>4555</v>
      </c>
      <c r="F43" s="6">
        <v>3998.4</v>
      </c>
      <c r="G43" s="6">
        <f t="shared" si="0"/>
        <v>7996.8</v>
      </c>
      <c r="H43" s="5">
        <v>4400</v>
      </c>
      <c r="I43" s="4">
        <f t="shared" si="1"/>
        <v>8800</v>
      </c>
    </row>
    <row r="44" spans="1:9" x14ac:dyDescent="0.3">
      <c r="A44" s="4">
        <v>43</v>
      </c>
      <c r="B44" s="4" t="s">
        <v>43</v>
      </c>
      <c r="C44" s="5">
        <v>34070090</v>
      </c>
      <c r="D44" s="5">
        <v>20</v>
      </c>
      <c r="E44" s="5">
        <v>225</v>
      </c>
      <c r="F44" s="6">
        <v>212.4</v>
      </c>
      <c r="G44" s="6">
        <f t="shared" si="0"/>
        <v>4248</v>
      </c>
      <c r="H44" s="5">
        <v>220</v>
      </c>
      <c r="I44" s="4">
        <f t="shared" si="1"/>
        <v>4400</v>
      </c>
    </row>
    <row r="45" spans="1:9" x14ac:dyDescent="0.3">
      <c r="A45" s="4">
        <v>44</v>
      </c>
      <c r="B45" s="4" t="s">
        <v>44</v>
      </c>
      <c r="C45" s="5">
        <v>30064000</v>
      </c>
      <c r="D45" s="5">
        <v>2</v>
      </c>
      <c r="E45" s="5">
        <v>410</v>
      </c>
      <c r="F45" s="6">
        <v>392</v>
      </c>
      <c r="G45" s="6">
        <f t="shared" si="0"/>
        <v>784</v>
      </c>
      <c r="H45" s="5">
        <v>400</v>
      </c>
      <c r="I45" s="4">
        <f t="shared" si="1"/>
        <v>800</v>
      </c>
    </row>
    <row r="46" spans="1:9" x14ac:dyDescent="0.3">
      <c r="A46" s="4">
        <v>45</v>
      </c>
      <c r="B46" s="4" t="s">
        <v>45</v>
      </c>
      <c r="C46" s="5">
        <v>30059090</v>
      </c>
      <c r="D46" s="5">
        <v>15</v>
      </c>
      <c r="E46" s="5">
        <v>740</v>
      </c>
      <c r="F46" s="6">
        <v>504</v>
      </c>
      <c r="G46" s="6">
        <f t="shared" si="0"/>
        <v>7560</v>
      </c>
      <c r="H46" s="5">
        <v>600</v>
      </c>
      <c r="I46" s="4">
        <f t="shared" si="1"/>
        <v>9000</v>
      </c>
    </row>
    <row r="47" spans="1:9" x14ac:dyDescent="0.3">
      <c r="A47" s="4">
        <v>46</v>
      </c>
      <c r="B47" s="4" t="s">
        <v>46</v>
      </c>
      <c r="C47" s="5">
        <v>90184900</v>
      </c>
      <c r="D47" s="5">
        <v>1</v>
      </c>
      <c r="E47" s="5">
        <v>800</v>
      </c>
      <c r="F47" s="6">
        <v>685.44</v>
      </c>
      <c r="G47" s="6">
        <f t="shared" si="0"/>
        <v>685.44</v>
      </c>
      <c r="H47" s="5">
        <v>750</v>
      </c>
      <c r="I47" s="4">
        <f t="shared" si="1"/>
        <v>750</v>
      </c>
    </row>
    <row r="48" spans="1:9" x14ac:dyDescent="0.3">
      <c r="A48" s="4">
        <v>47</v>
      </c>
      <c r="B48" s="4" t="s">
        <v>47</v>
      </c>
      <c r="C48" s="5">
        <v>90184900</v>
      </c>
      <c r="D48" s="5">
        <v>6</v>
      </c>
      <c r="E48" s="5">
        <v>800</v>
      </c>
      <c r="F48" s="6">
        <v>685.44</v>
      </c>
      <c r="G48" s="6">
        <f t="shared" si="0"/>
        <v>4112.6400000000003</v>
      </c>
      <c r="H48" s="5">
        <v>750</v>
      </c>
      <c r="I48" s="4">
        <f t="shared" si="1"/>
        <v>4500</v>
      </c>
    </row>
    <row r="49" spans="1:9" x14ac:dyDescent="0.3">
      <c r="A49" s="4">
        <v>48</v>
      </c>
      <c r="B49" s="4" t="s">
        <v>48</v>
      </c>
      <c r="C49" s="5">
        <v>30064000</v>
      </c>
      <c r="D49" s="5">
        <v>3</v>
      </c>
      <c r="E49" s="5">
        <v>74</v>
      </c>
      <c r="F49" s="6">
        <v>72.8</v>
      </c>
      <c r="G49" s="6">
        <f t="shared" si="0"/>
        <v>218.39999999999998</v>
      </c>
      <c r="H49" s="5">
        <v>74</v>
      </c>
      <c r="I49" s="4">
        <f t="shared" si="1"/>
        <v>222</v>
      </c>
    </row>
    <row r="50" spans="1:9" x14ac:dyDescent="0.3">
      <c r="A50" s="4">
        <v>49</v>
      </c>
      <c r="B50" s="4" t="s">
        <v>49</v>
      </c>
      <c r="C50" s="5">
        <v>30059090</v>
      </c>
      <c r="D50" s="5">
        <v>1</v>
      </c>
      <c r="E50" s="5">
        <v>700</v>
      </c>
      <c r="F50" s="6">
        <v>616</v>
      </c>
      <c r="G50" s="6">
        <f t="shared" si="0"/>
        <v>616</v>
      </c>
      <c r="H50" s="5">
        <v>650</v>
      </c>
      <c r="I50" s="4">
        <f t="shared" si="1"/>
        <v>650</v>
      </c>
    </row>
    <row r="51" spans="1:9" x14ac:dyDescent="0.3">
      <c r="A51" s="4">
        <v>50</v>
      </c>
      <c r="B51" s="4" t="s">
        <v>50</v>
      </c>
      <c r="C51" s="5">
        <v>28470000</v>
      </c>
      <c r="D51" s="5">
        <v>10</v>
      </c>
      <c r="E51" s="5">
        <v>100</v>
      </c>
      <c r="F51" s="6">
        <v>84</v>
      </c>
      <c r="G51" s="6">
        <f t="shared" si="0"/>
        <v>840</v>
      </c>
      <c r="H51" s="5">
        <v>95</v>
      </c>
      <c r="I51" s="4">
        <f t="shared" si="1"/>
        <v>950</v>
      </c>
    </row>
    <row r="52" spans="1:9" x14ac:dyDescent="0.3">
      <c r="A52" s="4">
        <v>51</v>
      </c>
      <c r="B52" s="4" t="s">
        <v>51</v>
      </c>
      <c r="C52" s="5">
        <v>40151900</v>
      </c>
      <c r="D52" s="5">
        <v>200</v>
      </c>
      <c r="E52" s="5">
        <v>999</v>
      </c>
      <c r="F52" s="6">
        <v>280</v>
      </c>
      <c r="G52" s="6">
        <f t="shared" si="0"/>
        <v>56000</v>
      </c>
      <c r="H52" s="5">
        <v>375</v>
      </c>
      <c r="I52" s="4">
        <f t="shared" si="1"/>
        <v>75000</v>
      </c>
    </row>
    <row r="53" spans="1:9" x14ac:dyDescent="0.3">
      <c r="A53" s="4">
        <v>52</v>
      </c>
      <c r="B53" s="4" t="s">
        <v>52</v>
      </c>
      <c r="C53" s="5">
        <v>40151900</v>
      </c>
      <c r="D53" s="5">
        <v>200</v>
      </c>
      <c r="E53" s="5">
        <v>990</v>
      </c>
      <c r="F53" s="6">
        <v>302.39999999999998</v>
      </c>
      <c r="G53" s="6">
        <f t="shared" si="0"/>
        <v>60479.999999999993</v>
      </c>
      <c r="H53" s="5">
        <v>475</v>
      </c>
      <c r="I53" s="4">
        <f t="shared" si="1"/>
        <v>95000</v>
      </c>
    </row>
    <row r="54" spans="1:9" x14ac:dyDescent="0.3">
      <c r="F54" s="7"/>
      <c r="G54" s="8">
        <f>SUM(G2:G53)</f>
        <v>482182.3</v>
      </c>
      <c r="H54" s="7"/>
      <c r="I54" s="9">
        <f>SUM(I2:I53)</f>
        <v>567432</v>
      </c>
    </row>
    <row r="55" spans="1:9" x14ac:dyDescent="0.3">
      <c r="F55" s="7"/>
      <c r="G55" s="7"/>
      <c r="H55" s="7"/>
    </row>
    <row r="56" spans="1:9" x14ac:dyDescent="0.3">
      <c r="H56" s="9" t="s">
        <v>60</v>
      </c>
      <c r="I56" s="8">
        <f>I54-G54</f>
        <v>85249.700000000012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Agarwal</dc:creator>
  <cp:lastModifiedBy>KIHT</cp:lastModifiedBy>
  <dcterms:created xsi:type="dcterms:W3CDTF">2025-09-01T10:37:32Z</dcterms:created>
  <dcterms:modified xsi:type="dcterms:W3CDTF">2025-09-25T07:49:20Z</dcterms:modified>
</cp:coreProperties>
</file>