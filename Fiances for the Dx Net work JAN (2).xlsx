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D37" i="1" l="1"/>
  <c r="D31" i="1"/>
  <c r="L46" i="1" l="1"/>
  <c r="D22" i="1" l="1"/>
  <c r="E22" i="1"/>
</calcChain>
</file>

<file path=xl/sharedStrings.xml><?xml version="1.0" encoding="utf-8"?>
<sst xmlns="http://schemas.openxmlformats.org/spreadsheetml/2006/main" count="63" uniqueCount="60">
  <si>
    <t>Date</t>
  </si>
  <si>
    <t xml:space="preserve">Name of the patiant </t>
  </si>
  <si>
    <t xml:space="preserve">Total Amount Paid </t>
  </si>
  <si>
    <t>Name of the Test</t>
  </si>
  <si>
    <t>Cash</t>
  </si>
  <si>
    <t>UTR or transation ID</t>
  </si>
  <si>
    <t xml:space="preserve">Online </t>
  </si>
  <si>
    <t xml:space="preserve">Detalis of Expenses </t>
  </si>
  <si>
    <t>Salaries/Expense</t>
  </si>
  <si>
    <t>Referal by the who</t>
  </si>
  <si>
    <t xml:space="preserve">Amount Of the Referal </t>
  </si>
  <si>
    <t>Total Revenu</t>
  </si>
  <si>
    <t xml:space="preserve">Paid to other Labs </t>
  </si>
  <si>
    <t xml:space="preserve">sales </t>
  </si>
  <si>
    <t xml:space="preserve">TA &amp; DA And totall salaries </t>
  </si>
  <si>
    <t>Office expicences</t>
  </si>
  <si>
    <t xml:space="preserve">M. Anitha </t>
  </si>
  <si>
    <t>CBP, RBS, TSH</t>
  </si>
  <si>
    <t>P. Prabhavathi Devi</t>
  </si>
  <si>
    <t>SK. Intyaz</t>
  </si>
  <si>
    <t>CBP, RBS, ACE, CUE</t>
  </si>
  <si>
    <t>SK Soofiya</t>
  </si>
  <si>
    <t>CBP, AEC, RBC</t>
  </si>
  <si>
    <t>K. Ajaya kumar</t>
  </si>
  <si>
    <t>CBP, AEC,RBS, SERIUM BILLURBINR, SERUM CRIATINE, CUE</t>
  </si>
  <si>
    <t>M.Kantha rao</t>
  </si>
  <si>
    <t>CBP, AEC, RBS, SERIUM BILIRUBINE, CUE</t>
  </si>
  <si>
    <t>T.Kavitha</t>
  </si>
  <si>
    <t>CBP, RBS, TFT,CUE</t>
  </si>
  <si>
    <t>Y.Bandhvy</t>
  </si>
  <si>
    <t>CBP,RBS,VDRL,CUE</t>
  </si>
  <si>
    <t>T.Jayantha</t>
  </si>
  <si>
    <t>CPB,AEC,RBS</t>
  </si>
  <si>
    <t>Sk. Dil Raj</t>
  </si>
  <si>
    <t xml:space="preserve">CBP, AEC, RBS, SERIUM BILIRUBINE, </t>
  </si>
  <si>
    <t>Y. Aruna</t>
  </si>
  <si>
    <t>B. Srisha</t>
  </si>
  <si>
    <t>CBP, RBS, ACE, SERIUM BILIRUBINE, CUE</t>
  </si>
  <si>
    <t>T. Lakshmi</t>
  </si>
  <si>
    <t>Sk. Karimulla</t>
  </si>
  <si>
    <t>CBP, AEC,RBS, SERIUM BILLURBINR, SERUM CRIATINE</t>
  </si>
  <si>
    <t>syringes</t>
  </si>
  <si>
    <t>full body check up</t>
  </si>
  <si>
    <t>sk. Chandini</t>
  </si>
  <si>
    <t>CBP, RBS, S. criateine, SERIUM BILIRUBINE, CUE</t>
  </si>
  <si>
    <t>Lakshmi tirupathiamma</t>
  </si>
  <si>
    <t>CBP,RBS,BT,CT,HBSag</t>
  </si>
  <si>
    <t>k.govadini</t>
  </si>
  <si>
    <t>CBP,RBS,AEC</t>
  </si>
  <si>
    <t>Prasnna Kumar</t>
  </si>
  <si>
    <t>Lab to Lab price</t>
  </si>
  <si>
    <t>Exp</t>
  </si>
  <si>
    <t xml:space="preserve">D. Prasanna Kumar </t>
  </si>
  <si>
    <t>G.Pradeep</t>
  </si>
  <si>
    <t>Dr. M. Kishore babu</t>
  </si>
  <si>
    <t xml:space="preserve">Haristha sai priya </t>
  </si>
  <si>
    <t xml:space="preserve">TA &amp; DA </t>
  </si>
  <si>
    <t xml:space="preserve">Total amount </t>
  </si>
  <si>
    <t>Flex  (Harash)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</si>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</sst>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Albertus MT"/>
      <family val="2"/>
    </font>
    <font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164" fontId="2" fillId="0" borderId="0" xfId="1" applyNumberFormat="1" applyFont="1"/>
    <xf numFmtId="164" fontId="0" fillId="0" borderId="0" xfId="0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2" applyNumberFormat="1" applyFont="1"/>
    <xf numFmtId="0" fontId="0" fillId="2" borderId="0" xfId="0" applyFill="1"/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/>
    <xf numFmtId="164" fontId="0" fillId="0" borderId="0" xfId="0" applyNumberFormat="1" applyFill="1"/>
    <xf numFmtId="164" fontId="2" fillId="0" borderId="0" xfId="0" applyNumberFormat="1" applyFont="1" applyFill="1"/>
    <xf numFmtId="164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0" fillId="0" borderId="0" xfId="2" applyNumberFormat="1" applyFont="1" applyFill="1" applyAlignment="1"/>
    <xf numFmtId="164" fontId="0" fillId="0" borderId="0" xfId="0" applyNumberFormat="1" applyFill="1" applyAlignment="1"/>
    <xf numFmtId="164" fontId="2" fillId="0" borderId="0" xfId="2" applyNumberFormat="1" applyFont="1" applyFill="1" applyAlignment="1">
      <alignment horizontal="center"/>
    </xf>
    <xf numFmtId="14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/>
    <xf numFmtId="14" fontId="2" fillId="4" borderId="0" xfId="0" applyNumberFormat="1" applyFont="1" applyFill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/>
    <xf numFmtId="164" fontId="2" fillId="4" borderId="0" xfId="0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2" fillId="4" borderId="0" xfId="0" applyFont="1" applyFill="1" applyAlignment="1">
      <alignment horizontal="center"/>
    </xf>
    <xf numFmtId="44" fontId="0" fillId="0" borderId="0" xfId="0" applyNumberFormat="1"/>
    <xf numFmtId="44" fontId="0" fillId="0" borderId="0" xfId="2" applyFont="1"/>
    <xf numFmtId="164" fontId="2" fillId="5" borderId="0" xfId="0" applyNumberFormat="1" applyFont="1" applyFill="1"/>
    <xf numFmtId="0" fontId="5" fillId="3" borderId="0" xfId="0" applyFont="1" applyFill="1" applyAlignment="1">
      <alignment horizontal="center"/>
    </xf>
    <xf numFmtId="44" fontId="5" fillId="3" borderId="0" xfId="0" applyNumberFormat="1" applyFont="1" applyFill="1" applyAlignment="1">
      <alignment horizontal="center"/>
    </xf>
    <xf numFmtId="0" fontId="7" fillId="0" borderId="0" xfId="0" applyFont="1"/>
    <xf numFmtId="44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0" fontId="4" fillId="0" borderId="0" xfId="0" applyFont="1"/>
    <xf numFmtId="164" fontId="4" fillId="3" borderId="0" xfId="0" applyNumberFormat="1" applyFont="1" applyFill="1"/>
    <xf numFmtId="164" fontId="4" fillId="2" borderId="0" xfId="0" applyNumberFormat="1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"/>
  <sheetViews>
    <sheetView tabSelected="1" zoomScale="57" zoomScaleNormal="57" workbookViewId="0">
      <selection activeCell="I29" sqref="I29"/>
    </sheetView>
  </sheetViews>
  <sheetFormatPr defaultRowHeight="14.5" x14ac:dyDescent="0.35"/>
  <cols>
    <col min="1" max="1" width="24.26953125" customWidth="1"/>
    <col min="2" max="2" width="46.81640625" customWidth="1"/>
    <col min="3" max="3" width="59.453125" customWidth="1"/>
    <col min="4" max="4" width="33.7265625" customWidth="1"/>
    <col min="5" max="5" width="18" customWidth="1"/>
    <col min="6" max="6" width="19.1796875" customWidth="1"/>
    <col min="7" max="7" width="26.36328125" customWidth="1"/>
    <col min="8" max="8" width="17.54296875" customWidth="1"/>
    <col min="9" max="9" width="20.36328125" customWidth="1"/>
    <col min="10" max="10" width="26.26953125" customWidth="1"/>
    <col min="11" max="11" width="20.1796875" customWidth="1"/>
    <col min="12" max="12" width="32.54296875" customWidth="1"/>
    <col min="13" max="13" width="33.453125" customWidth="1"/>
    <col min="14" max="14" width="27.54296875" style="2" customWidth="1"/>
  </cols>
  <sheetData>
    <row r="1" spans="1:35" s="5" customFormat="1" x14ac:dyDescent="0.35">
      <c r="A1" s="4" t="s">
        <v>0</v>
      </c>
      <c r="B1" s="4" t="s">
        <v>1</v>
      </c>
      <c r="C1" s="4" t="s">
        <v>3</v>
      </c>
      <c r="D1" s="4" t="s">
        <v>2</v>
      </c>
      <c r="E1" s="4" t="s">
        <v>4</v>
      </c>
      <c r="F1" s="4" t="s">
        <v>6</v>
      </c>
      <c r="G1" s="5" t="s">
        <v>12</v>
      </c>
      <c r="H1" s="4" t="s">
        <v>5</v>
      </c>
      <c r="I1" s="4" t="s">
        <v>8</v>
      </c>
      <c r="J1" s="5" t="s">
        <v>7</v>
      </c>
      <c r="K1" s="5" t="s">
        <v>9</v>
      </c>
      <c r="L1" s="5" t="s">
        <v>10</v>
      </c>
      <c r="M1" s="4" t="s">
        <v>13</v>
      </c>
    </row>
    <row r="2" spans="1:35" x14ac:dyDescent="0.35">
      <c r="A2" s="3">
        <v>46025</v>
      </c>
      <c r="B2" s="1" t="s">
        <v>16</v>
      </c>
      <c r="C2" s="1" t="s">
        <v>17</v>
      </c>
      <c r="D2" s="6">
        <v>450</v>
      </c>
      <c r="E2" s="6"/>
      <c r="F2" s="1"/>
      <c r="G2" s="37">
        <v>-300</v>
      </c>
      <c r="H2" s="2"/>
      <c r="I2" s="6"/>
      <c r="J2" s="7"/>
      <c r="K2" s="6"/>
      <c r="M2" s="37"/>
      <c r="N2" s="38"/>
    </row>
    <row r="3" spans="1:35" x14ac:dyDescent="0.35">
      <c r="A3" s="3">
        <v>46039</v>
      </c>
      <c r="B3" s="1" t="s">
        <v>18</v>
      </c>
      <c r="C3" s="1" t="s">
        <v>42</v>
      </c>
      <c r="D3" s="61">
        <v>3000</v>
      </c>
      <c r="E3" s="6"/>
      <c r="F3" s="1"/>
      <c r="G3" s="37">
        <v>-900</v>
      </c>
      <c r="H3" s="2"/>
      <c r="K3" s="6"/>
      <c r="L3" s="24"/>
      <c r="M3" s="37"/>
    </row>
    <row r="4" spans="1:35" x14ac:dyDescent="0.35">
      <c r="A4" s="3">
        <v>46039</v>
      </c>
      <c r="B4" s="1" t="s">
        <v>19</v>
      </c>
      <c r="C4" s="1" t="s">
        <v>20</v>
      </c>
      <c r="D4" s="6">
        <v>800</v>
      </c>
      <c r="E4" s="10"/>
      <c r="F4" s="11"/>
      <c r="G4" s="23"/>
      <c r="H4" s="22"/>
      <c r="K4" s="6"/>
      <c r="L4" s="22"/>
    </row>
    <row r="5" spans="1:35" x14ac:dyDescent="0.35">
      <c r="A5" s="3">
        <v>46039</v>
      </c>
      <c r="B5" s="1" t="s">
        <v>21</v>
      </c>
      <c r="C5" s="1" t="s">
        <v>22</v>
      </c>
      <c r="D5" s="22">
        <v>700</v>
      </c>
      <c r="E5" s="10"/>
      <c r="F5" s="23"/>
      <c r="G5" s="23"/>
      <c r="H5" s="22"/>
      <c r="K5" s="22"/>
      <c r="L5" s="22"/>
    </row>
    <row r="6" spans="1:35" s="16" customFormat="1" x14ac:dyDescent="0.35">
      <c r="A6" s="3">
        <v>46039</v>
      </c>
      <c r="B6" s="26" t="s">
        <v>23</v>
      </c>
      <c r="C6" s="1" t="s">
        <v>24</v>
      </c>
      <c r="D6" s="27">
        <v>1000</v>
      </c>
      <c r="E6" s="28"/>
      <c r="F6" s="32"/>
      <c r="G6" s="32"/>
      <c r="H6" s="27"/>
      <c r="I6" s="32"/>
      <c r="J6" s="32"/>
      <c r="K6" s="33"/>
      <c r="L6" s="33"/>
      <c r="M6" s="17"/>
      <c r="N6" s="24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spans="1:35" s="16" customFormat="1" x14ac:dyDescent="0.35">
      <c r="A7" s="3">
        <v>46039</v>
      </c>
      <c r="B7" s="26" t="s">
        <v>25</v>
      </c>
      <c r="C7" s="26" t="s">
        <v>26</v>
      </c>
      <c r="D7" s="27">
        <v>900</v>
      </c>
      <c r="E7" s="28"/>
      <c r="F7" s="32"/>
      <c r="G7" s="32"/>
      <c r="H7" s="27"/>
      <c r="I7" s="32"/>
      <c r="J7" s="32"/>
      <c r="K7" s="33"/>
      <c r="L7" s="33"/>
      <c r="M7" s="30"/>
      <c r="N7" s="24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spans="1:35" s="16" customFormat="1" x14ac:dyDescent="0.35">
      <c r="A8" s="3">
        <v>46039</v>
      </c>
      <c r="B8" s="59" t="s">
        <v>27</v>
      </c>
      <c r="C8" s="26" t="s">
        <v>28</v>
      </c>
      <c r="D8" s="31">
        <v>900</v>
      </c>
      <c r="E8" s="28"/>
      <c r="F8" s="32"/>
      <c r="G8" s="32"/>
      <c r="H8" s="31"/>
      <c r="I8" s="32"/>
      <c r="J8" s="32"/>
      <c r="K8" s="33"/>
      <c r="L8" s="33"/>
      <c r="M8" s="30"/>
      <c r="N8" s="24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spans="1:35" x14ac:dyDescent="0.35">
      <c r="A9" s="3">
        <v>46041</v>
      </c>
      <c r="B9" s="26" t="s">
        <v>29</v>
      </c>
      <c r="C9" s="26" t="s">
        <v>30</v>
      </c>
      <c r="D9" s="27">
        <v>800</v>
      </c>
      <c r="E9" s="28"/>
      <c r="F9" s="29"/>
      <c r="G9" s="29"/>
      <c r="H9" s="27"/>
      <c r="I9" s="31"/>
      <c r="J9" s="32"/>
      <c r="K9" s="27"/>
      <c r="L9" s="24"/>
      <c r="M9" s="30"/>
      <c r="N9" s="24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spans="1:35" x14ac:dyDescent="0.35">
      <c r="A10" s="3">
        <v>46041</v>
      </c>
      <c r="B10" s="26" t="s">
        <v>31</v>
      </c>
      <c r="C10" s="26" t="s">
        <v>32</v>
      </c>
      <c r="D10" s="27">
        <v>700</v>
      </c>
      <c r="E10" s="28"/>
      <c r="F10" s="33"/>
      <c r="G10" s="33"/>
      <c r="H10" s="27"/>
      <c r="I10" s="31"/>
      <c r="J10" s="33"/>
      <c r="K10" s="33"/>
      <c r="L10" s="33"/>
      <c r="M10" s="30"/>
      <c r="N10" s="24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35" ht="15.5" customHeight="1" x14ac:dyDescent="0.35">
      <c r="A11" s="3">
        <v>46042</v>
      </c>
      <c r="B11" s="26" t="s">
        <v>33</v>
      </c>
      <c r="C11" s="26" t="s">
        <v>34</v>
      </c>
      <c r="D11" s="27">
        <v>900</v>
      </c>
      <c r="E11" s="28"/>
      <c r="F11" s="33"/>
      <c r="G11" s="33"/>
      <c r="H11" s="33"/>
      <c r="I11" s="31"/>
      <c r="J11" s="33"/>
      <c r="K11" s="33"/>
      <c r="L11" s="33"/>
      <c r="M11" s="17"/>
      <c r="N11" s="24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5" x14ac:dyDescent="0.35">
      <c r="A12" s="3">
        <v>46042</v>
      </c>
      <c r="B12" s="26" t="s">
        <v>35</v>
      </c>
      <c r="C12" s="1" t="s">
        <v>20</v>
      </c>
      <c r="D12" s="31">
        <v>600</v>
      </c>
      <c r="E12" s="27"/>
      <c r="F12" s="27"/>
      <c r="G12" s="27"/>
      <c r="H12" s="20"/>
      <c r="I12" s="20"/>
      <c r="J12" s="33"/>
      <c r="K12" s="17"/>
      <c r="L12" s="30"/>
      <c r="M12" s="36"/>
      <c r="N12" s="24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 spans="1:35" x14ac:dyDescent="0.35">
      <c r="A13" s="3">
        <v>46042</v>
      </c>
      <c r="B13" s="26" t="s">
        <v>36</v>
      </c>
      <c r="C13" s="1" t="s">
        <v>37</v>
      </c>
      <c r="D13" s="31">
        <v>1000</v>
      </c>
      <c r="E13" s="27"/>
      <c r="F13" s="40"/>
      <c r="G13" s="40"/>
      <c r="H13" s="40"/>
      <c r="I13" s="40"/>
      <c r="J13" s="40"/>
      <c r="K13" s="40"/>
      <c r="L13" s="40"/>
      <c r="M13" s="34"/>
      <c r="N13" s="24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 spans="1:35" s="16" customFormat="1" x14ac:dyDescent="0.35">
      <c r="A14" s="25">
        <v>46045</v>
      </c>
      <c r="B14" s="26" t="s">
        <v>38</v>
      </c>
      <c r="C14" s="1" t="s">
        <v>24</v>
      </c>
      <c r="D14" s="31">
        <v>1000</v>
      </c>
      <c r="E14" s="31"/>
      <c r="F14" s="40"/>
      <c r="G14" s="40"/>
      <c r="H14" s="40"/>
      <c r="I14" s="40"/>
      <c r="J14" s="40"/>
      <c r="K14" s="40"/>
      <c r="L14" s="40"/>
      <c r="M14" s="36"/>
      <c r="N14" s="24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spans="1:35" s="16" customFormat="1" x14ac:dyDescent="0.35">
      <c r="A15" s="25">
        <v>46046</v>
      </c>
      <c r="B15" s="26" t="s">
        <v>39</v>
      </c>
      <c r="C15" s="1" t="s">
        <v>40</v>
      </c>
      <c r="D15" s="31">
        <v>700</v>
      </c>
      <c r="E15" s="31"/>
      <c r="F15" s="40"/>
      <c r="G15" s="40"/>
      <c r="H15" s="40"/>
      <c r="I15" s="40"/>
      <c r="J15" s="40"/>
      <c r="K15" s="40"/>
      <c r="L15" s="40"/>
      <c r="M15" s="18"/>
      <c r="N15" s="24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 spans="1:35" s="16" customFormat="1" x14ac:dyDescent="0.35">
      <c r="A16" s="25">
        <v>46049</v>
      </c>
      <c r="B16" s="26" t="s">
        <v>43</v>
      </c>
      <c r="C16" s="26" t="s">
        <v>44</v>
      </c>
      <c r="D16" s="31">
        <v>900</v>
      </c>
      <c r="E16" s="31"/>
      <c r="F16" s="18"/>
      <c r="G16" s="18"/>
      <c r="H16" s="18"/>
      <c r="I16" s="17"/>
      <c r="J16" s="17"/>
      <c r="K16" s="17"/>
      <c r="L16" s="24"/>
      <c r="M16" s="36"/>
      <c r="N16" s="24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spans="1:14" x14ac:dyDescent="0.35">
      <c r="A17" s="25">
        <v>46050</v>
      </c>
      <c r="B17" s="26" t="s">
        <v>45</v>
      </c>
      <c r="C17" s="26" t="s">
        <v>46</v>
      </c>
      <c r="D17" s="31">
        <v>800</v>
      </c>
      <c r="E17" s="31"/>
      <c r="F17" s="18"/>
      <c r="G17" s="18"/>
      <c r="H17" s="18"/>
      <c r="I17" s="17"/>
      <c r="J17" s="17"/>
      <c r="K17" s="17"/>
      <c r="L17" s="24"/>
      <c r="M17" s="37"/>
    </row>
    <row r="18" spans="1:14" x14ac:dyDescent="0.35">
      <c r="A18" s="25">
        <v>46052</v>
      </c>
      <c r="B18" s="26" t="s">
        <v>47</v>
      </c>
      <c r="C18" s="26" t="s">
        <v>48</v>
      </c>
      <c r="D18" s="31">
        <v>400</v>
      </c>
      <c r="E18" s="31"/>
      <c r="F18" s="18"/>
      <c r="G18" s="18"/>
      <c r="H18" s="18"/>
      <c r="I18" s="17"/>
      <c r="J18" s="17"/>
      <c r="K18" s="17"/>
      <c r="L18" s="24"/>
      <c r="M18" s="38"/>
    </row>
    <row r="19" spans="1:14" x14ac:dyDescent="0.35">
      <c r="A19" s="3"/>
      <c r="B19" s="35"/>
      <c r="C19" s="26"/>
      <c r="D19" s="31"/>
      <c r="E19" s="31"/>
      <c r="F19" s="18"/>
      <c r="G19" s="18"/>
      <c r="H19" s="18"/>
      <c r="I19" s="17"/>
      <c r="J19" s="17"/>
      <c r="K19" s="17"/>
      <c r="L19" s="24"/>
      <c r="M19" s="37"/>
    </row>
    <row r="20" spans="1:14" x14ac:dyDescent="0.35">
      <c r="A20" s="3"/>
      <c r="B20" s="35"/>
      <c r="C20" s="26"/>
      <c r="D20" s="31"/>
      <c r="E20" s="31"/>
      <c r="F20" s="18"/>
      <c r="G20" s="18"/>
      <c r="H20" s="18"/>
      <c r="I20" s="17"/>
      <c r="J20" s="17"/>
      <c r="K20" s="17"/>
      <c r="L20" s="24"/>
      <c r="M20" s="37"/>
    </row>
    <row r="21" spans="1:14" x14ac:dyDescent="0.35">
      <c r="A21" s="25"/>
      <c r="B21" s="26"/>
      <c r="C21" s="26"/>
      <c r="D21" s="31"/>
      <c r="E21" s="31"/>
      <c r="F21" s="18"/>
      <c r="G21" s="18"/>
      <c r="H21" s="18"/>
      <c r="I21" s="17"/>
      <c r="J21" s="17"/>
      <c r="K21" s="17"/>
      <c r="L21" s="24"/>
    </row>
    <row r="22" spans="1:14" ht="23.5" x14ac:dyDescent="0.55000000000000004">
      <c r="A22" s="25"/>
      <c r="B22" s="26"/>
      <c r="C22" s="26"/>
      <c r="D22" s="45">
        <f>SUM(D2:D21)</f>
        <v>15550</v>
      </c>
      <c r="E22" s="45">
        <f>SUM(E2:E21)</f>
        <v>0</v>
      </c>
      <c r="F22" s="18"/>
      <c r="G22" s="18">
        <v>1200</v>
      </c>
      <c r="H22" s="18"/>
      <c r="I22" s="17"/>
      <c r="J22" s="17"/>
      <c r="K22" s="17"/>
      <c r="L22" s="24"/>
    </row>
    <row r="23" spans="1:14" s="42" customFormat="1" x14ac:dyDescent="0.35">
      <c r="A23" s="41"/>
      <c r="D23" s="43"/>
      <c r="E23" s="43"/>
      <c r="F23" s="43"/>
      <c r="G23" s="43"/>
      <c r="L23" s="44"/>
      <c r="N23" s="47"/>
    </row>
    <row r="24" spans="1:14" x14ac:dyDescent="0.35">
      <c r="B24" s="13"/>
      <c r="F24" s="19"/>
      <c r="G24" s="19"/>
    </row>
    <row r="25" spans="1:14" x14ac:dyDescent="0.35">
      <c r="B25" s="13"/>
      <c r="C25" s="14"/>
      <c r="D25" s="8"/>
      <c r="E25" s="14"/>
      <c r="H25" s="13"/>
      <c r="I25" s="8"/>
      <c r="K25" s="49"/>
    </row>
    <row r="26" spans="1:14" x14ac:dyDescent="0.35">
      <c r="B26" s="13"/>
      <c r="C26" t="s">
        <v>58</v>
      </c>
      <c r="D26" s="8">
        <v>250</v>
      </c>
      <c r="E26" s="14"/>
      <c r="H26" s="13"/>
      <c r="I26" s="15"/>
      <c r="K26" s="48"/>
    </row>
    <row r="27" spans="1:14" x14ac:dyDescent="0.35">
      <c r="B27" s="14"/>
      <c r="C27" t="s">
        <v>49</v>
      </c>
      <c r="D27" s="8">
        <v>200</v>
      </c>
      <c r="E27" s="14"/>
      <c r="F27" t="s">
        <v>59</v>
      </c>
      <c r="H27" s="13"/>
      <c r="I27" s="8"/>
      <c r="K27" s="48"/>
    </row>
    <row r="28" spans="1:14" x14ac:dyDescent="0.35">
      <c r="B28" s="12"/>
      <c r="C28" t="s">
        <v>41</v>
      </c>
      <c r="D28" s="9">
        <v>220</v>
      </c>
      <c r="F28" s="13" t="s">
        <v>52</v>
      </c>
      <c r="G28" s="8">
        <v>15000</v>
      </c>
      <c r="H28" s="13"/>
      <c r="I28" s="21"/>
      <c r="K28" s="48"/>
    </row>
    <row r="29" spans="1:14" x14ac:dyDescent="0.35">
      <c r="B29" s="12"/>
      <c r="C29" t="s">
        <v>50</v>
      </c>
      <c r="D29" s="8">
        <v>1200</v>
      </c>
      <c r="F29" s="13" t="s">
        <v>53</v>
      </c>
      <c r="G29" s="15">
        <v>15000</v>
      </c>
      <c r="I29" s="8"/>
      <c r="K29" s="48"/>
    </row>
    <row r="30" spans="1:14" x14ac:dyDescent="0.35">
      <c r="B30" s="12"/>
      <c r="F30" s="13" t="s">
        <v>54</v>
      </c>
      <c r="G30" s="8">
        <v>30000</v>
      </c>
      <c r="K30" s="60"/>
    </row>
    <row r="31" spans="1:14" x14ac:dyDescent="0.35">
      <c r="B31" s="12"/>
      <c r="C31" s="14"/>
      <c r="D31" s="8">
        <f>SUM(D26:D30)</f>
        <v>1870</v>
      </c>
      <c r="E31" s="17"/>
      <c r="F31" s="13" t="s">
        <v>55</v>
      </c>
      <c r="G31" s="21">
        <v>10000</v>
      </c>
      <c r="H31" s="19"/>
      <c r="I31" s="21"/>
    </row>
    <row r="32" spans="1:14" x14ac:dyDescent="0.35">
      <c r="B32" s="12"/>
      <c r="C32" s="14"/>
      <c r="D32" s="8"/>
      <c r="E32" s="17"/>
      <c r="G32" s="8">
        <f>SUM(G28:G31)</f>
        <v>70000</v>
      </c>
      <c r="H32" s="17"/>
      <c r="I32" s="17"/>
    </row>
    <row r="33" spans="2:24" x14ac:dyDescent="0.35">
      <c r="B33" s="46"/>
      <c r="D33" s="8"/>
      <c r="E33" s="17"/>
      <c r="H33" s="17"/>
      <c r="I33" s="17"/>
    </row>
    <row r="34" spans="2:24" x14ac:dyDescent="0.35">
      <c r="B34" s="12"/>
      <c r="C34" s="12"/>
      <c r="D34" s="8"/>
      <c r="E34" s="17"/>
      <c r="F34" s="14" t="s">
        <v>56</v>
      </c>
      <c r="G34" s="50"/>
      <c r="H34" s="17"/>
      <c r="I34" s="17"/>
    </row>
    <row r="35" spans="2:24" x14ac:dyDescent="0.35">
      <c r="B35" s="12"/>
      <c r="C35" t="s">
        <v>57</v>
      </c>
      <c r="D35" s="8">
        <v>15500</v>
      </c>
      <c r="F35" s="8"/>
      <c r="G35" s="8"/>
    </row>
    <row r="36" spans="2:24" x14ac:dyDescent="0.35">
      <c r="B36" s="12"/>
      <c r="C36" t="s">
        <v>51</v>
      </c>
      <c r="D36" s="8">
        <v>-1870</v>
      </c>
    </row>
    <row r="37" spans="2:24" x14ac:dyDescent="0.35">
      <c r="B37" s="12"/>
      <c r="C37" t="s">
        <v>11</v>
      </c>
      <c r="D37" s="8">
        <f>SUM(D35:D36)</f>
        <v>13630</v>
      </c>
    </row>
    <row r="38" spans="2:24" x14ac:dyDescent="0.35">
      <c r="B38" s="12"/>
      <c r="D38" s="8"/>
    </row>
    <row r="39" spans="2:24" x14ac:dyDescent="0.35">
      <c r="B39" s="12"/>
      <c r="D39" s="8"/>
    </row>
    <row r="40" spans="2:24" x14ac:dyDescent="0.35">
      <c r="B40" s="12"/>
      <c r="D40" s="7"/>
      <c r="J40" s="7"/>
    </row>
    <row r="41" spans="2:24" x14ac:dyDescent="0.35">
      <c r="D41" s="7"/>
      <c r="J41" s="7"/>
      <c r="L41" s="57"/>
      <c r="N41"/>
      <c r="X41" s="2"/>
    </row>
    <row r="42" spans="2:24" x14ac:dyDescent="0.35">
      <c r="D42" s="39"/>
      <c r="J42" s="7"/>
      <c r="K42" s="56"/>
      <c r="L42" s="57"/>
      <c r="N42"/>
      <c r="X42" s="2"/>
    </row>
    <row r="43" spans="2:24" x14ac:dyDescent="0.35">
      <c r="D43" s="2"/>
      <c r="K43" s="56"/>
      <c r="L43" s="57">
        <v>-65300</v>
      </c>
      <c r="N43"/>
      <c r="X43" s="2"/>
    </row>
    <row r="44" spans="2:24" x14ac:dyDescent="0.35">
      <c r="K44" s="58" t="s">
        <v>14</v>
      </c>
      <c r="L44" s="57">
        <v>15300</v>
      </c>
      <c r="N44"/>
      <c r="X44" s="2"/>
    </row>
    <row r="45" spans="2:24" x14ac:dyDescent="0.35">
      <c r="K45" s="56" t="s">
        <v>11</v>
      </c>
      <c r="L45" s="57">
        <v>-1600</v>
      </c>
      <c r="N45"/>
      <c r="X45" s="2"/>
    </row>
    <row r="46" spans="2:24" x14ac:dyDescent="0.35">
      <c r="K46" s="56" t="s">
        <v>15</v>
      </c>
      <c r="L46" s="55">
        <f>SUM(L43:L45)</f>
        <v>-51600</v>
      </c>
      <c r="N46"/>
      <c r="X46" s="2"/>
    </row>
    <row r="47" spans="2:24" x14ac:dyDescent="0.35">
      <c r="N47"/>
      <c r="X47" s="2"/>
    </row>
    <row r="48" spans="2:24" x14ac:dyDescent="0.35">
      <c r="N48"/>
      <c r="X48" s="2"/>
    </row>
    <row r="49" spans="13:34" x14ac:dyDescent="0.35">
      <c r="N49"/>
      <c r="AD49" s="2"/>
    </row>
    <row r="50" spans="13:34" x14ac:dyDescent="0.35"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Y50" s="52"/>
      <c r="AC50" s="2"/>
    </row>
    <row r="51" spans="13:34" x14ac:dyDescent="0.35">
      <c r="N51"/>
      <c r="AB51" s="53"/>
      <c r="AH51" s="2"/>
    </row>
    <row r="52" spans="13:34" x14ac:dyDescent="0.35">
      <c r="N52"/>
      <c r="AB52" s="51"/>
      <c r="AC52" s="51"/>
      <c r="AH52" s="2"/>
    </row>
    <row r="53" spans="13:34" x14ac:dyDescent="0.35">
      <c r="N53"/>
      <c r="AB53" s="51"/>
      <c r="AC53" s="54"/>
      <c r="AH53" s="2"/>
    </row>
    <row r="54" spans="13:34" x14ac:dyDescent="0.35">
      <c r="N54"/>
      <c r="AC54" s="54"/>
      <c r="AH54" s="2"/>
    </row>
    <row r="55" spans="13:34" x14ac:dyDescent="0.35">
      <c r="N55"/>
      <c r="AC55" s="52"/>
      <c r="AH55" s="2"/>
    </row>
    <row r="56" spans="13:34" x14ac:dyDescent="0.35">
      <c r="N56"/>
      <c r="AC56" s="52"/>
      <c r="AH56" s="2"/>
    </row>
    <row r="57" spans="13:34" x14ac:dyDescent="0.35">
      <c r="N57"/>
      <c r="AC57" s="52"/>
      <c r="AH57" s="2"/>
    </row>
    <row r="58" spans="13:34" x14ac:dyDescent="0.35">
      <c r="N58"/>
      <c r="AH58" s="2"/>
    </row>
    <row r="59" spans="13:34" x14ac:dyDescent="0.35">
      <c r="N59"/>
      <c r="AH59" s="2"/>
    </row>
    <row r="60" spans="13:34" x14ac:dyDescent="0.35">
      <c r="N60"/>
      <c r="AH60" s="2"/>
    </row>
    <row r="61" spans="13:34" x14ac:dyDescent="0.35">
      <c r="N61"/>
      <c r="X61" s="2"/>
    </row>
    <row r="62" spans="13:34" x14ac:dyDescent="0.35">
      <c r="N62"/>
      <c r="X62" s="2"/>
    </row>
    <row r="63" spans="13:34" x14ac:dyDescent="0.35">
      <c r="N63"/>
      <c r="X63" s="2"/>
    </row>
    <row r="64" spans="13:34" x14ac:dyDescent="0.35">
      <c r="N64"/>
      <c r="X64" s="2"/>
    </row>
    <row r="65" spans="14:24" x14ac:dyDescent="0.35">
      <c r="N65"/>
      <c r="X65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2026-02-02T13:22:35Z</dcterms:modified>
</cp:coreProperties>
</file>