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  <c r="V13" i="1"/>
  <c r="V12" i="1"/>
  <c r="V11" i="1"/>
  <c r="V10" i="1"/>
  <c r="V9" i="1"/>
  <c r="V8" i="1"/>
  <c r="V7" i="1"/>
  <c r="V6" i="1"/>
  <c r="V5" i="1"/>
  <c r="V4" i="1"/>
  <c r="U14" i="1"/>
  <c r="U13" i="1"/>
  <c r="U12" i="1"/>
  <c r="U11" i="1"/>
  <c r="U10" i="1"/>
  <c r="U9" i="1"/>
  <c r="U8" i="1"/>
  <c r="U7" i="1"/>
  <c r="U6" i="1"/>
  <c r="U5" i="1"/>
  <c r="U4" i="1"/>
  <c r="S14" i="1"/>
  <c r="S13" i="1"/>
  <c r="S12" i="1"/>
  <c r="S11" i="1"/>
  <c r="S10" i="1"/>
  <c r="S9" i="1"/>
  <c r="S8" i="1"/>
  <c r="S7" i="1"/>
  <c r="S6" i="1"/>
  <c r="S5" i="1"/>
  <c r="S4" i="1"/>
  <c r="R14" i="1"/>
  <c r="R13" i="1"/>
  <c r="R12" i="1"/>
  <c r="R11" i="1"/>
  <c r="R10" i="1"/>
  <c r="R9" i="1"/>
  <c r="R8" i="1"/>
  <c r="R7" i="1"/>
  <c r="R6" i="1"/>
  <c r="R5" i="1"/>
  <c r="R4" i="1"/>
  <c r="P14" i="1"/>
  <c r="P13" i="1"/>
  <c r="P12" i="1"/>
  <c r="P11" i="1"/>
  <c r="P10" i="1"/>
  <c r="P9" i="1"/>
  <c r="P8" i="1"/>
  <c r="P7" i="1"/>
  <c r="P6" i="1"/>
  <c r="P5" i="1"/>
  <c r="P4" i="1"/>
  <c r="O14" i="1"/>
  <c r="O13" i="1"/>
  <c r="O12" i="1"/>
  <c r="O11" i="1"/>
  <c r="O10" i="1"/>
  <c r="O9" i="1"/>
  <c r="O8" i="1"/>
  <c r="O7" i="1"/>
  <c r="O6" i="1"/>
  <c r="O5" i="1"/>
  <c r="O4" i="1"/>
  <c r="M14" i="1"/>
  <c r="M13" i="1"/>
  <c r="M12" i="1"/>
  <c r="M11" i="1"/>
  <c r="M10" i="1"/>
  <c r="M9" i="1"/>
  <c r="M8" i="1"/>
  <c r="M7" i="1"/>
  <c r="M6" i="1"/>
  <c r="M5" i="1"/>
  <c r="M4" i="1"/>
  <c r="J4" i="1"/>
  <c r="F4" i="1"/>
  <c r="G4" i="1"/>
  <c r="I14" i="1" l="1"/>
  <c r="F14" i="1"/>
  <c r="G14" i="1" s="1"/>
  <c r="I13" i="1"/>
  <c r="F13" i="1"/>
  <c r="G13" i="1" s="1"/>
  <c r="I12" i="1"/>
  <c r="F12" i="1"/>
  <c r="G12" i="1" s="1"/>
  <c r="I11" i="1"/>
  <c r="F11" i="1"/>
  <c r="G11" i="1" s="1"/>
  <c r="I10" i="1"/>
  <c r="F10" i="1"/>
  <c r="G10" i="1" s="1"/>
  <c r="I9" i="1"/>
  <c r="G9" i="1"/>
  <c r="L9" i="1" s="1"/>
  <c r="F9" i="1"/>
  <c r="I8" i="1"/>
  <c r="F8" i="1"/>
  <c r="G8" i="1" s="1"/>
  <c r="I7" i="1"/>
  <c r="F7" i="1"/>
  <c r="G7" i="1" s="1"/>
  <c r="I6" i="1"/>
  <c r="F6" i="1"/>
  <c r="G6" i="1" s="1"/>
  <c r="I5" i="1"/>
  <c r="F5" i="1"/>
  <c r="G5" i="1" s="1"/>
  <c r="I4" i="1"/>
  <c r="L4" i="1" l="1"/>
  <c r="L7" i="1"/>
  <c r="J7" i="1"/>
  <c r="L10" i="1"/>
  <c r="J10" i="1"/>
  <c r="L13" i="1"/>
  <c r="J13" i="1"/>
  <c r="L5" i="1"/>
  <c r="J5" i="1"/>
  <c r="L8" i="1"/>
  <c r="J8" i="1"/>
  <c r="L11" i="1"/>
  <c r="J11" i="1"/>
  <c r="L14" i="1"/>
  <c r="J14" i="1"/>
  <c r="J6" i="1"/>
  <c r="L6" i="1"/>
  <c r="J12" i="1"/>
  <c r="L12" i="1"/>
  <c r="J9" i="1"/>
  <c r="Y6" i="1" l="1"/>
  <c r="Z6" i="1" s="1"/>
  <c r="Y14" i="1"/>
  <c r="Z14" i="1" s="1"/>
  <c r="Y5" i="1"/>
  <c r="Z5" i="1" s="1"/>
  <c r="Y7" i="1"/>
  <c r="Z7" i="1" s="1"/>
  <c r="Y9" i="1"/>
  <c r="Z9" i="1" s="1"/>
  <c r="Y11" i="1"/>
  <c r="Z11" i="1" s="1"/>
  <c r="Y13" i="1"/>
  <c r="Z13" i="1" s="1"/>
  <c r="Y4" i="1"/>
  <c r="Z4" i="1"/>
  <c r="Y12" i="1"/>
  <c r="Z12" i="1" s="1"/>
  <c r="Y8" i="1"/>
  <c r="Z8" i="1" s="1"/>
  <c r="Y10" i="1"/>
  <c r="Z10" i="1" s="1"/>
</calcChain>
</file>

<file path=xl/sharedStrings.xml><?xml version="1.0" encoding="utf-8"?>
<sst xmlns="http://schemas.openxmlformats.org/spreadsheetml/2006/main" count="39" uniqueCount="36">
  <si>
    <t>Shalex Meditech</t>
  </si>
  <si>
    <r>
      <rPr>
        <b/>
        <u/>
        <sz val="8.5"/>
        <color rgb="FF1155CC"/>
        <rFont val="Times New Roman"/>
        <family val="1"/>
      </rPr>
      <t>S.NO</t>
    </r>
  </si>
  <si>
    <t>Product Code</t>
  </si>
  <si>
    <t>Product Name</t>
  </si>
  <si>
    <t>Price to Primaria</t>
  </si>
  <si>
    <t>2%Amt</t>
  </si>
  <si>
    <t>Bench Mark Price</t>
  </si>
  <si>
    <t xml:space="preserve">5% Amt </t>
  </si>
  <si>
    <t xml:space="preserve">Market Entry Price </t>
  </si>
  <si>
    <t>4% Amt</t>
  </si>
  <si>
    <t>HSN Code</t>
  </si>
  <si>
    <t>GST %</t>
  </si>
  <si>
    <t>Total Amount</t>
  </si>
  <si>
    <t>SU-505</t>
  </si>
  <si>
    <t>Single-use OR Gown</t>
  </si>
  <si>
    <t>SU-506</t>
  </si>
  <si>
    <t>Single-use OR Gown (Reinforced)</t>
  </si>
  <si>
    <t>SU-902</t>
  </si>
  <si>
    <t>Single-use Patient Gown</t>
  </si>
  <si>
    <t>MU-301</t>
  </si>
  <si>
    <t>Multiple-use OR Apron</t>
  </si>
  <si>
    <t>MU-303</t>
  </si>
  <si>
    <t>Multiple-use OR Apron (Reinforced)</t>
  </si>
  <si>
    <t>MU-501</t>
  </si>
  <si>
    <t>Multiple-use OR Gown</t>
  </si>
  <si>
    <t>MU-502</t>
  </si>
  <si>
    <t>Multiple-use OR Gown (Reinforced)</t>
  </si>
  <si>
    <t>SU-1102</t>
  </si>
  <si>
    <t>Single-use C-Arm Cover (Pair of Two Pieces)</t>
  </si>
  <si>
    <t>SU-1102A</t>
  </si>
  <si>
    <t>Single-use C-Arm Cover (Set of 3 Pieces)</t>
  </si>
  <si>
    <t>BI-101</t>
  </si>
  <si>
    <t>Sterilization Process Indicator(Biological)-EO</t>
  </si>
  <si>
    <t>BI-102</t>
  </si>
  <si>
    <t>Sterilization Process Indicator(Biological)-Steam</t>
  </si>
  <si>
    <t xml:space="preserve">Market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</si>
</sst>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₹0.00"/>
    <numFmt numFmtId="165" formatCode="0.00000"/>
    <numFmt numFmtId="166" formatCode="\₹#,##0.00"/>
  </numFmts>
  <fonts count="8" x14ac:knownFonts="1">
    <font>
      <sz val="11"/>
      <color theme="1"/>
      <name val="Calibri"/>
      <family val="2"/>
      <scheme val="minor"/>
    </font>
    <font>
      <b/>
      <sz val="12.5"/>
      <name val="Times New Roman"/>
      <family val="1"/>
    </font>
    <font>
      <sz val="10"/>
      <color rgb="FF000000"/>
      <name val="Times New Roman"/>
      <family val="1"/>
    </font>
    <font>
      <b/>
      <sz val="8.5"/>
      <name val="Times New Roman"/>
      <family val="1"/>
    </font>
    <font>
      <b/>
      <u/>
      <sz val="8.5"/>
      <color rgb="FF1155CC"/>
      <name val="Times New Roman"/>
      <family val="1"/>
    </font>
    <font>
      <b/>
      <sz val="10"/>
      <color rgb="FF000000"/>
      <name val="Times New Roman"/>
      <family val="1"/>
    </font>
    <font>
      <sz val="8.5"/>
      <color rgb="FF000000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 vertical="center" wrapText="1" indent="1"/>
    </xf>
    <xf numFmtId="9" fontId="3" fillId="0" borderId="2" xfId="0" applyNumberFormat="1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center" vertical="top" shrinkToFit="1"/>
    </xf>
    <xf numFmtId="0" fontId="7" fillId="0" borderId="3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left" vertical="top" wrapText="1" indent="7"/>
    </xf>
    <xf numFmtId="164" fontId="6" fillId="0" borderId="3" xfId="0" applyNumberFormat="1" applyFont="1" applyFill="1" applyBorder="1" applyAlignment="1">
      <alignment horizontal="center" vertical="top" shrinkToFit="1"/>
    </xf>
    <xf numFmtId="9" fontId="6" fillId="0" borderId="3" xfId="0" applyNumberFormat="1" applyFont="1" applyFill="1" applyBorder="1" applyAlignment="1">
      <alignment horizontal="center" vertical="top" shrinkToFit="1"/>
    </xf>
    <xf numFmtId="9" fontId="3" fillId="0" borderId="3" xfId="0" applyNumberFormat="1" applyFont="1" applyFill="1" applyBorder="1" applyAlignment="1">
      <alignment horizontal="left" vertical="center" wrapText="1" indent="1"/>
    </xf>
    <xf numFmtId="9" fontId="6" fillId="0" borderId="4" xfId="0" applyNumberFormat="1" applyFont="1" applyFill="1" applyBorder="1" applyAlignment="1">
      <alignment horizontal="center" vertical="top" shrinkToFit="1"/>
    </xf>
    <xf numFmtId="0" fontId="2" fillId="0" borderId="5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/>
    </xf>
    <xf numFmtId="1" fontId="6" fillId="0" borderId="6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left" vertical="top" wrapText="1" indent="4"/>
    </xf>
    <xf numFmtId="164" fontId="6" fillId="0" borderId="6" xfId="0" applyNumberFormat="1" applyFont="1" applyFill="1" applyBorder="1" applyAlignment="1">
      <alignment horizontal="center" vertical="top" shrinkToFit="1"/>
    </xf>
    <xf numFmtId="9" fontId="6" fillId="0" borderId="6" xfId="0" applyNumberFormat="1" applyFont="1" applyFill="1" applyBorder="1" applyAlignment="1">
      <alignment horizontal="center" vertical="top" shrinkToFit="1"/>
    </xf>
    <xf numFmtId="9" fontId="3" fillId="0" borderId="6" xfId="0" applyNumberFormat="1" applyFont="1" applyFill="1" applyBorder="1" applyAlignment="1">
      <alignment horizontal="left" vertical="center" wrapText="1" indent="1"/>
    </xf>
    <xf numFmtId="9" fontId="6" fillId="0" borderId="7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left" vertical="top" wrapText="1" indent="6"/>
    </xf>
    <xf numFmtId="0" fontId="7" fillId="0" borderId="6" xfId="0" applyFont="1" applyFill="1" applyBorder="1" applyAlignment="1">
      <alignment horizontal="left" vertical="top" wrapText="1" indent="7"/>
    </xf>
    <xf numFmtId="0" fontId="7" fillId="0" borderId="6" xfId="0" applyFont="1" applyFill="1" applyBorder="1" applyAlignment="1">
      <alignment horizontal="left" vertical="top" wrapText="1" indent="3"/>
    </xf>
    <xf numFmtId="166" fontId="6" fillId="0" borderId="6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/>
    </xf>
    <xf numFmtId="9" fontId="2" fillId="0" borderId="0" xfId="0" applyNumberFormat="1" applyFont="1" applyFill="1" applyBorder="1" applyAlignment="1">
      <alignment horizontal="left" vertical="top"/>
    </xf>
    <xf numFmtId="1" fontId="6" fillId="0" borderId="9" xfId="0" applyNumberFormat="1" applyFont="1" applyFill="1" applyBorder="1" applyAlignment="1">
      <alignment horizontal="center" vertical="top" shrinkToFit="1"/>
    </xf>
    <xf numFmtId="0" fontId="7" fillId="0" borderId="9" xfId="0" applyFont="1" applyFill="1" applyBorder="1" applyAlignment="1">
      <alignment horizontal="center" vertical="top" wrapText="1"/>
    </xf>
    <xf numFmtId="164" fontId="6" fillId="0" borderId="9" xfId="0" applyNumberFormat="1" applyFont="1" applyFill="1" applyBorder="1" applyAlignment="1">
      <alignment horizontal="center" vertical="top" shrinkToFit="1"/>
    </xf>
    <xf numFmtId="9" fontId="6" fillId="0" borderId="9" xfId="0" applyNumberFormat="1" applyFont="1" applyFill="1" applyBorder="1" applyAlignment="1">
      <alignment horizontal="center" vertical="top" shrinkToFit="1"/>
    </xf>
    <xf numFmtId="9" fontId="3" fillId="0" borderId="9" xfId="0" applyNumberFormat="1" applyFont="1" applyFill="1" applyBorder="1" applyAlignment="1">
      <alignment horizontal="left" vertical="center" wrapText="1" indent="1"/>
    </xf>
    <xf numFmtId="9" fontId="6" fillId="0" borderId="1" xfId="0" applyNumberFormat="1" applyFont="1" applyFill="1" applyBorder="1" applyAlignment="1">
      <alignment horizontal="center" vertical="top" shrinkToFit="1"/>
    </xf>
    <xf numFmtId="0" fontId="2" fillId="0" borderId="10" xfId="0" applyFont="1" applyFill="1" applyBorder="1" applyAlignment="1">
      <alignment horizontal="left" vertical="top"/>
    </xf>
    <xf numFmtId="165" fontId="2" fillId="0" borderId="11" xfId="0" applyNumberFormat="1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 vertical="top" wrapText="1" indent="2"/>
    </xf>
    <xf numFmtId="1" fontId="6" fillId="0" borderId="2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center" vertical="top" shrinkToFit="1"/>
    </xf>
    <xf numFmtId="9" fontId="6" fillId="0" borderId="2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left" vertical="center" wrapText="1" indent="1"/>
    </xf>
    <xf numFmtId="2" fontId="6" fillId="0" borderId="3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topLeftCell="E1" zoomScaleNormal="100" zoomScalePageLayoutView="80" workbookViewId="0">
      <selection activeCell="N20" sqref="N20"/>
    </sheetView>
  </sheetViews>
  <sheetFormatPr defaultRowHeight="12.75" x14ac:dyDescent="0.25"/>
  <cols>
    <col min="1" max="1" width="9.7109375" style="1" customWidth="1"/>
    <col min="2" max="2" width="13.140625" style="1" customWidth="1"/>
    <col min="3" max="3" width="45.42578125" style="1" customWidth="1"/>
    <col min="4" max="4" width="9" style="1" bestFit="1" customWidth="1"/>
    <col min="5" max="5" width="4.5703125" style="29" bestFit="1" customWidth="1"/>
    <col min="6" max="6" width="7.7109375" style="1" bestFit="1" customWidth="1"/>
    <col min="7" max="7" width="7.42578125" style="1" bestFit="1" customWidth="1"/>
    <col min="8" max="8" width="4.5703125" style="1" bestFit="1" customWidth="1"/>
    <col min="9" max="9" width="8.140625" style="1" bestFit="1" customWidth="1"/>
    <col min="10" max="10" width="11.7109375" style="1" customWidth="1"/>
    <col min="11" max="11" width="4.5703125" style="1" bestFit="1" customWidth="1"/>
    <col min="12" max="12" width="8.140625" style="1" bestFit="1" customWidth="1"/>
    <col min="13" max="13" width="8.140625" style="1" customWidth="1"/>
    <col min="14" max="14" width="8.140625" style="29" customWidth="1"/>
    <col min="15" max="16" width="8.140625" style="1" customWidth="1"/>
    <col min="17" max="17" width="8.140625" style="29" customWidth="1"/>
    <col min="18" max="20" width="8.140625" style="1" customWidth="1"/>
    <col min="21" max="21" width="8.140625" style="50" customWidth="1"/>
    <col min="22" max="22" width="8.140625" style="1" customWidth="1"/>
    <col min="23" max="23" width="8.7109375" style="1" bestFit="1" customWidth="1"/>
    <col min="24" max="24" width="6" style="1" bestFit="1" customWidth="1"/>
    <col min="25" max="25" width="7.85546875" style="1" bestFit="1" customWidth="1"/>
    <col min="26" max="26" width="16.140625" style="1" customWidth="1"/>
    <col min="27" max="16384" width="9.140625" style="1"/>
  </cols>
  <sheetData>
    <row r="1" spans="1:26" ht="16.5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31.5" x14ac:dyDescent="0.2">
      <c r="A3" s="2" t="s">
        <v>1</v>
      </c>
      <c r="B3" s="2" t="s">
        <v>2</v>
      </c>
      <c r="C3" s="2" t="s">
        <v>3</v>
      </c>
      <c r="D3" s="3" t="s">
        <v>4</v>
      </c>
      <c r="E3" s="4">
        <v>0.02</v>
      </c>
      <c r="F3" s="3" t="s">
        <v>5</v>
      </c>
      <c r="G3" s="3" t="s">
        <v>6</v>
      </c>
      <c r="H3" s="4">
        <v>0.05</v>
      </c>
      <c r="I3" s="3" t="s">
        <v>7</v>
      </c>
      <c r="J3" s="5" t="s">
        <v>8</v>
      </c>
      <c r="K3" s="4">
        <v>0.04</v>
      </c>
      <c r="L3" s="3" t="s">
        <v>9</v>
      </c>
      <c r="M3" s="3" t="s">
        <v>35</v>
      </c>
      <c r="N3" s="4">
        <v>0.03</v>
      </c>
      <c r="O3" s="3"/>
      <c r="P3" s="3" t="s">
        <v>35</v>
      </c>
      <c r="Q3" s="4">
        <v>0.02</v>
      </c>
      <c r="R3" s="3"/>
      <c r="S3" s="3" t="s">
        <v>35</v>
      </c>
      <c r="T3" s="4">
        <v>0.01</v>
      </c>
      <c r="U3" s="48"/>
      <c r="V3" s="3" t="s">
        <v>35</v>
      </c>
      <c r="W3" s="2" t="s">
        <v>10</v>
      </c>
      <c r="X3" s="2" t="s">
        <v>11</v>
      </c>
      <c r="Z3" s="6" t="s">
        <v>12</v>
      </c>
    </row>
    <row r="4" spans="1:26" x14ac:dyDescent="0.25">
      <c r="A4" s="7">
        <v>1</v>
      </c>
      <c r="B4" s="8" t="s">
        <v>13</v>
      </c>
      <c r="C4" s="9" t="s">
        <v>14</v>
      </c>
      <c r="D4" s="10">
        <v>61.8</v>
      </c>
      <c r="E4" s="11">
        <v>0.02</v>
      </c>
      <c r="F4" s="10">
        <f>D4*E4</f>
        <v>1.236</v>
      </c>
      <c r="G4" s="10">
        <f>D4+F4</f>
        <v>63.035999999999994</v>
      </c>
      <c r="H4" s="12">
        <v>0.05</v>
      </c>
      <c r="I4" s="10">
        <f t="shared" ref="I4:I14" si="0">D4*H4</f>
        <v>3.09</v>
      </c>
      <c r="J4" s="10">
        <f>G4+I4</f>
        <v>66.125999999999991</v>
      </c>
      <c r="K4" s="12">
        <v>0.04</v>
      </c>
      <c r="L4" s="10">
        <f t="shared" ref="L4:L14" si="1">G4*K4</f>
        <v>2.5214399999999997</v>
      </c>
      <c r="M4" s="10">
        <f>G4+L4</f>
        <v>65.55744</v>
      </c>
      <c r="N4" s="11">
        <v>0.03</v>
      </c>
      <c r="O4" s="10">
        <f>G4*N4</f>
        <v>1.8910799999999997</v>
      </c>
      <c r="P4" s="10">
        <f>G4+O4</f>
        <v>64.927079999999989</v>
      </c>
      <c r="Q4" s="11">
        <v>0.02</v>
      </c>
      <c r="R4" s="10">
        <f>G4*Q4</f>
        <v>1.2607199999999998</v>
      </c>
      <c r="S4" s="10">
        <f>G4+R4</f>
        <v>64.296719999999993</v>
      </c>
      <c r="T4" s="4">
        <v>0.01</v>
      </c>
      <c r="U4" s="49">
        <f>G4*T4</f>
        <v>0.63035999999999992</v>
      </c>
      <c r="V4" s="10">
        <f>G4+U4</f>
        <v>63.666359999999997</v>
      </c>
      <c r="W4" s="7">
        <v>62104070</v>
      </c>
      <c r="X4" s="13">
        <v>0.12</v>
      </c>
      <c r="Y4" s="14">
        <f>J4*X4</f>
        <v>7.9351199999999986</v>
      </c>
      <c r="Z4" s="15">
        <f>J4+Y4</f>
        <v>74.061119999999988</v>
      </c>
    </row>
    <row r="5" spans="1:26" x14ac:dyDescent="0.25">
      <c r="A5" s="16">
        <v>2</v>
      </c>
      <c r="B5" s="17" t="s">
        <v>15</v>
      </c>
      <c r="C5" s="18" t="s">
        <v>16</v>
      </c>
      <c r="D5" s="19">
        <v>92.7</v>
      </c>
      <c r="E5" s="20">
        <v>0.02</v>
      </c>
      <c r="F5" s="19">
        <f t="shared" ref="F5:F14" si="2">D5*E5</f>
        <v>1.8540000000000001</v>
      </c>
      <c r="G5" s="19">
        <f t="shared" ref="G5:G14" si="3">D5+F5</f>
        <v>94.554000000000002</v>
      </c>
      <c r="H5" s="21">
        <v>0.05</v>
      </c>
      <c r="I5" s="19">
        <f t="shared" si="0"/>
        <v>4.6350000000000007</v>
      </c>
      <c r="J5" s="19">
        <f t="shared" ref="J5:J14" si="4">G5+I5</f>
        <v>99.189000000000007</v>
      </c>
      <c r="K5" s="21">
        <v>0.04</v>
      </c>
      <c r="L5" s="19">
        <f t="shared" si="1"/>
        <v>3.7821600000000002</v>
      </c>
      <c r="M5" s="10">
        <f t="shared" ref="M5:M14" si="5">G5+L5</f>
        <v>98.336160000000007</v>
      </c>
      <c r="N5" s="11">
        <v>0.03</v>
      </c>
      <c r="O5" s="10">
        <f t="shared" ref="O5:O14" si="6">G5*N5</f>
        <v>2.8366199999999999</v>
      </c>
      <c r="P5" s="10">
        <f t="shared" ref="P5:P14" si="7">G5+O5</f>
        <v>97.390619999999998</v>
      </c>
      <c r="Q5" s="11">
        <v>0.02</v>
      </c>
      <c r="R5" s="10">
        <f t="shared" ref="R5:R14" si="8">G5*Q5</f>
        <v>1.8910800000000001</v>
      </c>
      <c r="S5" s="10">
        <f t="shared" ref="S5:S14" si="9">G5+R5</f>
        <v>96.445080000000004</v>
      </c>
      <c r="T5" s="4">
        <v>0.01</v>
      </c>
      <c r="U5" s="49">
        <f t="shared" ref="U5:U14" si="10">G5*T5</f>
        <v>0.94554000000000005</v>
      </c>
      <c r="V5" s="10">
        <f t="shared" ref="V5:V14" si="11">G5+U5</f>
        <v>95.499539999999996</v>
      </c>
      <c r="W5" s="16">
        <v>62104070</v>
      </c>
      <c r="X5" s="22">
        <v>0.12</v>
      </c>
      <c r="Y5" s="14">
        <f t="shared" ref="Y5:Y14" si="12">J5*X5</f>
        <v>11.90268</v>
      </c>
      <c r="Z5" s="15">
        <f t="shared" ref="Z5:Z14" si="13">J5+Y5</f>
        <v>111.09168000000001</v>
      </c>
    </row>
    <row r="6" spans="1:26" x14ac:dyDescent="0.25">
      <c r="A6" s="16">
        <v>3</v>
      </c>
      <c r="B6" s="17" t="s">
        <v>17</v>
      </c>
      <c r="C6" s="23" t="s">
        <v>18</v>
      </c>
      <c r="D6" s="19">
        <v>72.099999999999994</v>
      </c>
      <c r="E6" s="20">
        <v>0.02</v>
      </c>
      <c r="F6" s="19">
        <f t="shared" si="2"/>
        <v>1.4419999999999999</v>
      </c>
      <c r="G6" s="19">
        <f t="shared" si="3"/>
        <v>73.541999999999987</v>
      </c>
      <c r="H6" s="21">
        <v>0.05</v>
      </c>
      <c r="I6" s="19">
        <f t="shared" si="0"/>
        <v>3.605</v>
      </c>
      <c r="J6" s="19">
        <f t="shared" si="4"/>
        <v>77.146999999999991</v>
      </c>
      <c r="K6" s="21">
        <v>0.04</v>
      </c>
      <c r="L6" s="19">
        <f t="shared" si="1"/>
        <v>2.9416799999999994</v>
      </c>
      <c r="M6" s="10">
        <f t="shared" si="5"/>
        <v>76.483679999999993</v>
      </c>
      <c r="N6" s="11">
        <v>0.03</v>
      </c>
      <c r="O6" s="10">
        <f t="shared" si="6"/>
        <v>2.2062599999999994</v>
      </c>
      <c r="P6" s="10">
        <f t="shared" si="7"/>
        <v>75.748259999999988</v>
      </c>
      <c r="Q6" s="11">
        <v>0.02</v>
      </c>
      <c r="R6" s="10">
        <f t="shared" si="8"/>
        <v>1.4708399999999997</v>
      </c>
      <c r="S6" s="10">
        <f t="shared" si="9"/>
        <v>75.012839999999983</v>
      </c>
      <c r="T6" s="4">
        <v>0.01</v>
      </c>
      <c r="U6" s="49">
        <f t="shared" si="10"/>
        <v>0.73541999999999985</v>
      </c>
      <c r="V6" s="10">
        <f t="shared" si="11"/>
        <v>74.277419999999992</v>
      </c>
      <c r="W6" s="16">
        <v>62104070</v>
      </c>
      <c r="X6" s="22">
        <v>0.12</v>
      </c>
      <c r="Y6" s="14">
        <f t="shared" si="12"/>
        <v>9.2576399999999985</v>
      </c>
      <c r="Z6" s="15">
        <f t="shared" si="13"/>
        <v>86.404639999999986</v>
      </c>
    </row>
    <row r="7" spans="1:26" x14ac:dyDescent="0.25">
      <c r="A7" s="16">
        <v>4</v>
      </c>
      <c r="B7" s="17" t="s">
        <v>19</v>
      </c>
      <c r="C7" s="24" t="s">
        <v>20</v>
      </c>
      <c r="D7" s="19">
        <v>123.6</v>
      </c>
      <c r="E7" s="20">
        <v>0.02</v>
      </c>
      <c r="F7" s="19">
        <f t="shared" si="2"/>
        <v>2.472</v>
      </c>
      <c r="G7" s="19">
        <f t="shared" si="3"/>
        <v>126.07199999999999</v>
      </c>
      <c r="H7" s="21">
        <v>0.05</v>
      </c>
      <c r="I7" s="19">
        <f t="shared" si="0"/>
        <v>6.18</v>
      </c>
      <c r="J7" s="19">
        <f t="shared" si="4"/>
        <v>132.25199999999998</v>
      </c>
      <c r="K7" s="21">
        <v>0.04</v>
      </c>
      <c r="L7" s="19">
        <f t="shared" si="1"/>
        <v>5.0428799999999994</v>
      </c>
      <c r="M7" s="10">
        <f t="shared" si="5"/>
        <v>131.11488</v>
      </c>
      <c r="N7" s="11">
        <v>0.03</v>
      </c>
      <c r="O7" s="10">
        <f t="shared" si="6"/>
        <v>3.7821599999999993</v>
      </c>
      <c r="P7" s="10">
        <f t="shared" si="7"/>
        <v>129.85415999999998</v>
      </c>
      <c r="Q7" s="11">
        <v>0.02</v>
      </c>
      <c r="R7" s="10">
        <f t="shared" si="8"/>
        <v>2.5214399999999997</v>
      </c>
      <c r="S7" s="10">
        <f t="shared" si="9"/>
        <v>128.59343999999999</v>
      </c>
      <c r="T7" s="4">
        <v>0.01</v>
      </c>
      <c r="U7" s="49">
        <f t="shared" si="10"/>
        <v>1.2607199999999998</v>
      </c>
      <c r="V7" s="10">
        <f t="shared" si="11"/>
        <v>127.33271999999999</v>
      </c>
      <c r="W7" s="16">
        <v>62101000</v>
      </c>
      <c r="X7" s="22">
        <v>0.05</v>
      </c>
      <c r="Y7" s="14">
        <f t="shared" si="12"/>
        <v>6.6125999999999996</v>
      </c>
      <c r="Z7" s="15">
        <f t="shared" si="13"/>
        <v>138.86459999999997</v>
      </c>
    </row>
    <row r="8" spans="1:26" x14ac:dyDescent="0.25">
      <c r="A8" s="16">
        <v>5</v>
      </c>
      <c r="B8" s="17" t="s">
        <v>21</v>
      </c>
      <c r="C8" s="25" t="s">
        <v>22</v>
      </c>
      <c r="D8" s="19">
        <v>257.5</v>
      </c>
      <c r="E8" s="20">
        <v>0.02</v>
      </c>
      <c r="F8" s="19">
        <f t="shared" si="2"/>
        <v>5.15</v>
      </c>
      <c r="G8" s="19">
        <f t="shared" si="3"/>
        <v>262.64999999999998</v>
      </c>
      <c r="H8" s="21">
        <v>0.05</v>
      </c>
      <c r="I8" s="19">
        <f t="shared" si="0"/>
        <v>12.875</v>
      </c>
      <c r="J8" s="19">
        <f t="shared" si="4"/>
        <v>275.52499999999998</v>
      </c>
      <c r="K8" s="21">
        <v>0.04</v>
      </c>
      <c r="L8" s="19">
        <f t="shared" si="1"/>
        <v>10.505999999999998</v>
      </c>
      <c r="M8" s="10">
        <f t="shared" si="5"/>
        <v>273.15599999999995</v>
      </c>
      <c r="N8" s="11">
        <v>0.03</v>
      </c>
      <c r="O8" s="10">
        <f t="shared" si="6"/>
        <v>7.8794999999999993</v>
      </c>
      <c r="P8" s="10">
        <f t="shared" si="7"/>
        <v>270.52949999999998</v>
      </c>
      <c r="Q8" s="11">
        <v>0.02</v>
      </c>
      <c r="R8" s="10">
        <f t="shared" si="8"/>
        <v>5.2529999999999992</v>
      </c>
      <c r="S8" s="10">
        <f t="shared" si="9"/>
        <v>267.90299999999996</v>
      </c>
      <c r="T8" s="4">
        <v>0.01</v>
      </c>
      <c r="U8" s="49">
        <f t="shared" si="10"/>
        <v>2.6264999999999996</v>
      </c>
      <c r="V8" s="10">
        <f t="shared" si="11"/>
        <v>265.2765</v>
      </c>
      <c r="W8" s="16">
        <v>62101000</v>
      </c>
      <c r="X8" s="22">
        <v>0.05</v>
      </c>
      <c r="Y8" s="14">
        <f t="shared" si="12"/>
        <v>13.776249999999999</v>
      </c>
      <c r="Z8" s="15">
        <f t="shared" si="13"/>
        <v>289.30124999999998</v>
      </c>
    </row>
    <row r="9" spans="1:26" x14ac:dyDescent="0.25">
      <c r="A9" s="16">
        <v>6</v>
      </c>
      <c r="B9" s="17" t="s">
        <v>23</v>
      </c>
      <c r="C9" s="24" t="s">
        <v>24</v>
      </c>
      <c r="D9" s="19">
        <v>721</v>
      </c>
      <c r="E9" s="20">
        <v>0.02</v>
      </c>
      <c r="F9" s="19">
        <f t="shared" si="2"/>
        <v>14.42</v>
      </c>
      <c r="G9" s="19">
        <f t="shared" si="3"/>
        <v>735.42</v>
      </c>
      <c r="H9" s="21">
        <v>0.05</v>
      </c>
      <c r="I9" s="19">
        <f t="shared" si="0"/>
        <v>36.050000000000004</v>
      </c>
      <c r="J9" s="19">
        <f t="shared" si="4"/>
        <v>771.46999999999991</v>
      </c>
      <c r="K9" s="21">
        <v>0.04</v>
      </c>
      <c r="L9" s="19">
        <f t="shared" si="1"/>
        <v>29.416799999999999</v>
      </c>
      <c r="M9" s="10">
        <f t="shared" si="5"/>
        <v>764.83679999999993</v>
      </c>
      <c r="N9" s="11">
        <v>0.03</v>
      </c>
      <c r="O9" s="10">
        <f t="shared" si="6"/>
        <v>22.062599999999996</v>
      </c>
      <c r="P9" s="10">
        <f t="shared" si="7"/>
        <v>757.48259999999993</v>
      </c>
      <c r="Q9" s="11">
        <v>0.02</v>
      </c>
      <c r="R9" s="10">
        <f t="shared" si="8"/>
        <v>14.708399999999999</v>
      </c>
      <c r="S9" s="10">
        <f t="shared" si="9"/>
        <v>750.12839999999994</v>
      </c>
      <c r="T9" s="4">
        <v>0.01</v>
      </c>
      <c r="U9" s="49">
        <f t="shared" si="10"/>
        <v>7.3541999999999996</v>
      </c>
      <c r="V9" s="10">
        <f t="shared" si="11"/>
        <v>742.77419999999995</v>
      </c>
      <c r="W9" s="16">
        <v>62171010</v>
      </c>
      <c r="X9" s="22">
        <v>0.05</v>
      </c>
      <c r="Y9" s="14">
        <f t="shared" si="12"/>
        <v>38.573499999999996</v>
      </c>
      <c r="Z9" s="15">
        <f t="shared" si="13"/>
        <v>810.04349999999988</v>
      </c>
    </row>
    <row r="10" spans="1:26" x14ac:dyDescent="0.25">
      <c r="A10" s="16">
        <v>7</v>
      </c>
      <c r="B10" s="17" t="s">
        <v>25</v>
      </c>
      <c r="C10" s="25" t="s">
        <v>26</v>
      </c>
      <c r="D10" s="26">
        <v>1081.5</v>
      </c>
      <c r="E10" s="20">
        <v>0.02</v>
      </c>
      <c r="F10" s="19">
        <f t="shared" si="2"/>
        <v>21.63</v>
      </c>
      <c r="G10" s="19">
        <f t="shared" si="3"/>
        <v>1103.1300000000001</v>
      </c>
      <c r="H10" s="21">
        <v>0.05</v>
      </c>
      <c r="I10" s="19">
        <f t="shared" si="0"/>
        <v>54.075000000000003</v>
      </c>
      <c r="J10" s="19">
        <f t="shared" si="4"/>
        <v>1157.2050000000002</v>
      </c>
      <c r="K10" s="21">
        <v>0.04</v>
      </c>
      <c r="L10" s="19">
        <f t="shared" si="1"/>
        <v>44.125200000000007</v>
      </c>
      <c r="M10" s="10">
        <f t="shared" si="5"/>
        <v>1147.2552000000001</v>
      </c>
      <c r="N10" s="11">
        <v>0.03</v>
      </c>
      <c r="O10" s="10">
        <f t="shared" si="6"/>
        <v>33.093900000000005</v>
      </c>
      <c r="P10" s="10">
        <f t="shared" si="7"/>
        <v>1136.2239000000002</v>
      </c>
      <c r="Q10" s="11">
        <v>0.02</v>
      </c>
      <c r="R10" s="10">
        <f t="shared" si="8"/>
        <v>22.062600000000003</v>
      </c>
      <c r="S10" s="10">
        <f t="shared" si="9"/>
        <v>1125.1926000000001</v>
      </c>
      <c r="T10" s="4">
        <v>0.01</v>
      </c>
      <c r="U10" s="49">
        <f t="shared" si="10"/>
        <v>11.031300000000002</v>
      </c>
      <c r="V10" s="10">
        <f t="shared" si="11"/>
        <v>1114.1613000000002</v>
      </c>
      <c r="W10" s="16">
        <v>62101000</v>
      </c>
      <c r="X10" s="22">
        <v>0.05</v>
      </c>
      <c r="Y10" s="14">
        <f t="shared" si="12"/>
        <v>57.860250000000008</v>
      </c>
      <c r="Z10" s="15">
        <f t="shared" si="13"/>
        <v>1215.0652500000001</v>
      </c>
    </row>
    <row r="11" spans="1:26" x14ac:dyDescent="0.25">
      <c r="A11" s="16">
        <v>8</v>
      </c>
      <c r="B11" s="17" t="s">
        <v>27</v>
      </c>
      <c r="C11" s="27" t="s">
        <v>28</v>
      </c>
      <c r="D11" s="19">
        <v>66.95</v>
      </c>
      <c r="E11" s="20">
        <v>0.02</v>
      </c>
      <c r="F11" s="19">
        <f t="shared" si="2"/>
        <v>1.3390000000000002</v>
      </c>
      <c r="G11" s="19">
        <f t="shared" si="3"/>
        <v>68.289000000000001</v>
      </c>
      <c r="H11" s="21">
        <v>0.05</v>
      </c>
      <c r="I11" s="19">
        <f t="shared" si="0"/>
        <v>3.3475000000000001</v>
      </c>
      <c r="J11" s="19">
        <f t="shared" si="4"/>
        <v>71.636499999999998</v>
      </c>
      <c r="K11" s="21">
        <v>0.04</v>
      </c>
      <c r="L11" s="19">
        <f t="shared" si="1"/>
        <v>2.73156</v>
      </c>
      <c r="M11" s="10">
        <f t="shared" si="5"/>
        <v>71.020560000000003</v>
      </c>
      <c r="N11" s="11">
        <v>0.03</v>
      </c>
      <c r="O11" s="10">
        <f t="shared" si="6"/>
        <v>2.04867</v>
      </c>
      <c r="P11" s="10">
        <f t="shared" si="7"/>
        <v>70.337670000000003</v>
      </c>
      <c r="Q11" s="11">
        <v>0.02</v>
      </c>
      <c r="R11" s="10">
        <f t="shared" si="8"/>
        <v>1.36578</v>
      </c>
      <c r="S11" s="10">
        <f t="shared" si="9"/>
        <v>69.654780000000002</v>
      </c>
      <c r="T11" s="4">
        <v>0.01</v>
      </c>
      <c r="U11" s="49">
        <f t="shared" si="10"/>
        <v>0.68289</v>
      </c>
      <c r="V11" s="10">
        <f t="shared" si="11"/>
        <v>68.971890000000002</v>
      </c>
      <c r="W11" s="16">
        <v>62104070</v>
      </c>
      <c r="X11" s="22">
        <v>0.12</v>
      </c>
      <c r="Y11" s="14">
        <f t="shared" si="12"/>
        <v>8.5963799999999999</v>
      </c>
      <c r="Z11" s="15">
        <f t="shared" si="13"/>
        <v>80.232879999999994</v>
      </c>
    </row>
    <row r="12" spans="1:26" x14ac:dyDescent="0.25">
      <c r="A12" s="30">
        <v>9</v>
      </c>
      <c r="B12" s="31" t="s">
        <v>29</v>
      </c>
      <c r="C12" s="38" t="s">
        <v>30</v>
      </c>
      <c r="D12" s="32">
        <v>87.55</v>
      </c>
      <c r="E12" s="33">
        <v>0.02</v>
      </c>
      <c r="F12" s="32">
        <f t="shared" si="2"/>
        <v>1.7509999999999999</v>
      </c>
      <c r="G12" s="32">
        <f t="shared" si="3"/>
        <v>89.301000000000002</v>
      </c>
      <c r="H12" s="34">
        <v>0.05</v>
      </c>
      <c r="I12" s="32">
        <f t="shared" si="0"/>
        <v>4.3775000000000004</v>
      </c>
      <c r="J12" s="32">
        <f t="shared" si="4"/>
        <v>93.6785</v>
      </c>
      <c r="K12" s="34">
        <v>0.04</v>
      </c>
      <c r="L12" s="32">
        <f t="shared" si="1"/>
        <v>3.5720400000000003</v>
      </c>
      <c r="M12" s="10">
        <f t="shared" si="5"/>
        <v>92.873040000000003</v>
      </c>
      <c r="N12" s="11">
        <v>0.03</v>
      </c>
      <c r="O12" s="10">
        <f t="shared" si="6"/>
        <v>2.67903</v>
      </c>
      <c r="P12" s="10">
        <f t="shared" si="7"/>
        <v>91.980029999999999</v>
      </c>
      <c r="Q12" s="11">
        <v>0.02</v>
      </c>
      <c r="R12" s="10">
        <f t="shared" si="8"/>
        <v>1.7860200000000002</v>
      </c>
      <c r="S12" s="10">
        <f t="shared" si="9"/>
        <v>91.087019999999995</v>
      </c>
      <c r="T12" s="4">
        <v>0.01</v>
      </c>
      <c r="U12" s="49">
        <f t="shared" si="10"/>
        <v>0.89301000000000008</v>
      </c>
      <c r="V12" s="10">
        <f t="shared" si="11"/>
        <v>90.194010000000006</v>
      </c>
      <c r="W12" s="30">
        <v>62104070</v>
      </c>
      <c r="X12" s="35">
        <v>0.12</v>
      </c>
      <c r="Y12" s="36">
        <f t="shared" si="12"/>
        <v>11.24142</v>
      </c>
      <c r="Z12" s="37">
        <f t="shared" si="13"/>
        <v>104.91992</v>
      </c>
    </row>
    <row r="13" spans="1:26" x14ac:dyDescent="0.25">
      <c r="A13" s="39">
        <v>10</v>
      </c>
      <c r="B13" s="40" t="s">
        <v>31</v>
      </c>
      <c r="C13" s="41" t="s">
        <v>32</v>
      </c>
      <c r="D13" s="42">
        <v>206</v>
      </c>
      <c r="E13" s="43">
        <v>0.02</v>
      </c>
      <c r="F13" s="42">
        <f t="shared" si="2"/>
        <v>4.12</v>
      </c>
      <c r="G13" s="42">
        <f t="shared" si="3"/>
        <v>210.12</v>
      </c>
      <c r="H13" s="4">
        <v>0.05</v>
      </c>
      <c r="I13" s="42">
        <f t="shared" si="0"/>
        <v>10.3</v>
      </c>
      <c r="J13" s="42">
        <f t="shared" si="4"/>
        <v>220.42000000000002</v>
      </c>
      <c r="K13" s="4">
        <v>0.04</v>
      </c>
      <c r="L13" s="42">
        <f t="shared" si="1"/>
        <v>8.4047999999999998</v>
      </c>
      <c r="M13" s="10">
        <f t="shared" si="5"/>
        <v>218.5248</v>
      </c>
      <c r="N13" s="11">
        <v>0.03</v>
      </c>
      <c r="O13" s="10">
        <f t="shared" si="6"/>
        <v>6.3036000000000003</v>
      </c>
      <c r="P13" s="10">
        <f t="shared" si="7"/>
        <v>216.42359999999999</v>
      </c>
      <c r="Q13" s="11">
        <v>0.02</v>
      </c>
      <c r="R13" s="10">
        <f t="shared" si="8"/>
        <v>4.2023999999999999</v>
      </c>
      <c r="S13" s="10">
        <f t="shared" si="9"/>
        <v>214.32240000000002</v>
      </c>
      <c r="T13" s="4">
        <v>0.01</v>
      </c>
      <c r="U13" s="49">
        <f t="shared" si="10"/>
        <v>2.1012</v>
      </c>
      <c r="V13" s="10">
        <f t="shared" si="11"/>
        <v>212.22120000000001</v>
      </c>
      <c r="W13" s="39">
        <v>38220090</v>
      </c>
      <c r="X13" s="43">
        <v>0.12</v>
      </c>
      <c r="Y13" s="28">
        <f t="shared" si="12"/>
        <v>26.450400000000002</v>
      </c>
      <c r="Z13" s="15">
        <f t="shared" si="13"/>
        <v>246.87040000000002</v>
      </c>
    </row>
    <row r="14" spans="1:26" x14ac:dyDescent="0.25">
      <c r="A14" s="39">
        <v>11</v>
      </c>
      <c r="B14" s="40" t="s">
        <v>33</v>
      </c>
      <c r="C14" s="41" t="s">
        <v>34</v>
      </c>
      <c r="D14" s="42">
        <v>206</v>
      </c>
      <c r="E14" s="43">
        <v>0.02</v>
      </c>
      <c r="F14" s="42">
        <f t="shared" si="2"/>
        <v>4.12</v>
      </c>
      <c r="G14" s="42">
        <f t="shared" si="3"/>
        <v>210.12</v>
      </c>
      <c r="H14" s="4">
        <v>0.05</v>
      </c>
      <c r="I14" s="42">
        <f t="shared" si="0"/>
        <v>10.3</v>
      </c>
      <c r="J14" s="42">
        <f t="shared" si="4"/>
        <v>220.42000000000002</v>
      </c>
      <c r="K14" s="4">
        <v>0.04</v>
      </c>
      <c r="L14" s="42">
        <f t="shared" si="1"/>
        <v>8.4047999999999998</v>
      </c>
      <c r="M14" s="10">
        <f t="shared" si="5"/>
        <v>218.5248</v>
      </c>
      <c r="N14" s="11">
        <v>0.03</v>
      </c>
      <c r="O14" s="10">
        <f t="shared" si="6"/>
        <v>6.3036000000000003</v>
      </c>
      <c r="P14" s="10">
        <f t="shared" si="7"/>
        <v>216.42359999999999</v>
      </c>
      <c r="Q14" s="11">
        <v>0.02</v>
      </c>
      <c r="R14" s="10">
        <f t="shared" si="8"/>
        <v>4.2023999999999999</v>
      </c>
      <c r="S14" s="10">
        <f t="shared" si="9"/>
        <v>214.32240000000002</v>
      </c>
      <c r="T14" s="4">
        <v>0.01</v>
      </c>
      <c r="U14" s="49">
        <f t="shared" si="10"/>
        <v>2.1012</v>
      </c>
      <c r="V14" s="10">
        <f t="shared" si="11"/>
        <v>212.22120000000001</v>
      </c>
      <c r="W14" s="39">
        <v>38220090</v>
      </c>
      <c r="X14" s="43">
        <v>0.12</v>
      </c>
      <c r="Y14" s="28">
        <f t="shared" si="12"/>
        <v>26.450400000000002</v>
      </c>
      <c r="Z14" s="15">
        <f t="shared" si="13"/>
        <v>246.87040000000002</v>
      </c>
    </row>
    <row r="15" spans="1:26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6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</sheetData>
  <mergeCells count="3">
    <mergeCell ref="A15:X15"/>
    <mergeCell ref="A16:X16"/>
    <mergeCell ref="A1:Z2"/>
  </mergeCells>
  <hyperlinks>
    <hyperlink ref="A3" r:id="rId1" display="http://S.NO/"/>
  </hyperlinks>
  <pageMargins left="0.7" right="0.7" top="0.75" bottom="0.75" header="0.3" footer="0.3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2025-10-13T10:40:27Z</dcterms:created>
  <dcterms:modified xsi:type="dcterms:W3CDTF">2025-11-03T11:52:13Z</dcterms:modified>
</cp:coreProperties>
</file>