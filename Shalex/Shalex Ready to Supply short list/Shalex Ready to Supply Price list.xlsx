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125"/>
  </bookViews>
  <sheets>
    <sheet name="Table 1" sheetId="1" r:id="rId1"/>
  </sheets>
  <calcPr calcId="162913"/>
</workbook>
</file>

<file path=xl/calcChain.xml><?xml version="1.0" encoding="utf-8"?>
<calcChain xmlns="http://schemas.openxmlformats.org/spreadsheetml/2006/main">
  <c r="J4" i="1" l="1"/>
  <c r="E4" i="1"/>
  <c r="J9" i="1" l="1"/>
  <c r="H14" i="1"/>
  <c r="H9" i="1"/>
  <c r="H8" i="1"/>
  <c r="F14" i="1"/>
  <c r="J14" i="1" s="1"/>
  <c r="F13" i="1"/>
  <c r="H13" i="1" s="1"/>
  <c r="F11" i="1"/>
  <c r="H11" i="1" s="1"/>
  <c r="F9" i="1"/>
  <c r="F8" i="1"/>
  <c r="J8" i="1" s="1"/>
  <c r="F7" i="1"/>
  <c r="H7" i="1" s="1"/>
  <c r="F5" i="1"/>
  <c r="H5" i="1" s="1"/>
  <c r="E14" i="1"/>
  <c r="E13" i="1"/>
  <c r="E12" i="1"/>
  <c r="F12" i="1" s="1"/>
  <c r="E11" i="1"/>
  <c r="E10" i="1"/>
  <c r="F10" i="1" s="1"/>
  <c r="E9" i="1"/>
  <c r="E8" i="1"/>
  <c r="E7" i="1"/>
  <c r="E6" i="1"/>
  <c r="F6" i="1" s="1"/>
  <c r="E5" i="1"/>
  <c r="F4" i="1"/>
  <c r="H4" i="1" l="1"/>
  <c r="H10" i="1"/>
  <c r="J10" i="1"/>
  <c r="H6" i="1"/>
  <c r="J6" i="1" s="1"/>
  <c r="H12" i="1"/>
  <c r="J12" i="1"/>
  <c r="J5" i="1"/>
  <c r="J11" i="1"/>
  <c r="J7" i="1"/>
  <c r="J13" i="1"/>
</calcChain>
</file>

<file path=xl/sharedStrings.xml><?xml version="1.0" encoding="utf-8"?>
<sst xmlns="http://schemas.openxmlformats.org/spreadsheetml/2006/main" count="20" uniqueCount="20">
  <si>
    <r>
      <rPr>
        <b/>
        <sz val="12.5"/>
        <rFont val="Arial"/>
        <family val="2"/>
      </rPr>
      <t>Shalex Meditech</t>
    </r>
  </si>
  <si>
    <r>
      <rPr>
        <b/>
        <sz val="10"/>
        <rFont val="Arial"/>
        <family val="2"/>
      </rPr>
      <t>Price List and Specification for Primaria Healthcare- Phase I</t>
    </r>
  </si>
  <si>
    <r>
      <rPr>
        <b/>
        <sz val="8.5"/>
        <rFont val="Arial"/>
        <family val="2"/>
      </rPr>
      <t>Product Name</t>
    </r>
  </si>
  <si>
    <r>
      <rPr>
        <b/>
        <sz val="8.5"/>
        <rFont val="Arial"/>
        <family val="2"/>
      </rPr>
      <t>Price to Primaria</t>
    </r>
  </si>
  <si>
    <r>
      <rPr>
        <b/>
        <sz val="8.5"/>
        <rFont val="Arial"/>
        <family val="2"/>
      </rPr>
      <t>GST</t>
    </r>
  </si>
  <si>
    <r>
      <rPr>
        <sz val="8.5"/>
        <rFont val="Arial MT"/>
        <family val="2"/>
      </rPr>
      <t>Single-use OR Gown</t>
    </r>
  </si>
  <si>
    <r>
      <rPr>
        <sz val="8.5"/>
        <rFont val="Arial MT"/>
        <family val="2"/>
      </rPr>
      <t>Single-use OR Gown (Reinforced)</t>
    </r>
  </si>
  <si>
    <r>
      <rPr>
        <sz val="8.5"/>
        <rFont val="Arial MT"/>
        <family val="2"/>
      </rPr>
      <t>Single-use Patient Gown</t>
    </r>
  </si>
  <si>
    <r>
      <rPr>
        <sz val="8.5"/>
        <rFont val="Arial MT"/>
        <family val="2"/>
      </rPr>
      <t>Multiple-use OR Apron</t>
    </r>
  </si>
  <si>
    <r>
      <rPr>
        <sz val="8.5"/>
        <rFont val="Arial MT"/>
        <family val="2"/>
      </rPr>
      <t>Multiple-use OR Apron (Reinforced)</t>
    </r>
  </si>
  <si>
    <r>
      <rPr>
        <sz val="8.5"/>
        <rFont val="Arial MT"/>
        <family val="2"/>
      </rPr>
      <t>Multiple-use OR Gown</t>
    </r>
  </si>
  <si>
    <r>
      <rPr>
        <sz val="8.5"/>
        <rFont val="Arial MT"/>
        <family val="2"/>
      </rPr>
      <t>Multiple-use OR Gown (Reinforced)</t>
    </r>
  </si>
  <si>
    <r>
      <rPr>
        <sz val="8.5"/>
        <rFont val="Arial MT"/>
        <family val="2"/>
      </rPr>
      <t>Single-use C-Arm Cover (Pair of Two Pieces)</t>
    </r>
  </si>
  <si>
    <r>
      <rPr>
        <sz val="8.5"/>
        <rFont val="Arial MT"/>
        <family val="2"/>
      </rPr>
      <t>Single-use C-Arm Cover (Set of 3 Pieces)</t>
    </r>
  </si>
  <si>
    <r>
      <rPr>
        <sz val="8.5"/>
        <rFont val="Arial MT"/>
        <family val="2"/>
      </rPr>
      <t>Sterilization Process Indicator(Biological)-EO</t>
    </r>
  </si>
  <si>
    <r>
      <rPr>
        <sz val="8.5"/>
        <rFont val="Arial MT"/>
        <family val="2"/>
      </rPr>
      <t>Sterilization Process Indicator(Biological)-Steam</t>
    </r>
  </si>
  <si>
    <t>Benchmark</t>
  </si>
  <si>
    <t>Market Entry Price</t>
  </si>
  <si>
    <t>Quantity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</si>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</sst>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₹0.00"/>
    <numFmt numFmtId="165" formatCode="\₹#,##0.00"/>
  </numFmts>
  <fonts count="11">
    <font>
      <sz val="10"/>
      <color rgb="FF000000"/>
      <name val="Times New Roman"/>
      <charset val="204"/>
    </font>
    <font>
      <b/>
      <sz val="12.5"/>
      <name val="Arial"/>
    </font>
    <font>
      <b/>
      <sz val="10"/>
      <name val="Arial"/>
    </font>
    <font>
      <b/>
      <sz val="8.5"/>
      <name val="Arial"/>
    </font>
    <font>
      <sz val="8.5"/>
      <color rgb="FF000000"/>
      <name val="Arial MT"/>
      <family val="2"/>
    </font>
    <font>
      <sz val="8.5"/>
      <name val="Arial MT"/>
    </font>
    <font>
      <b/>
      <sz val="8.5"/>
      <color rgb="FF000000"/>
      <name val="Arial"/>
      <family val="2"/>
    </font>
    <font>
      <b/>
      <sz val="12.5"/>
      <name val="Arial"/>
      <family val="2"/>
    </font>
    <font>
      <b/>
      <sz val="10"/>
      <name val="Arial"/>
      <family val="2"/>
    </font>
    <font>
      <b/>
      <sz val="8.5"/>
      <name val="Arial"/>
      <family val="2"/>
    </font>
    <font>
      <sz val="8.5"/>
      <name val="Arial MT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 applyFill="1" applyBorder="1" applyAlignment="1">
      <alignment horizontal="left" vertical="top"/>
    </xf>
    <xf numFmtId="165" fontId="6" fillId="0" borderId="0" xfId="0" applyNumberFormat="1" applyFont="1" applyFill="1" applyBorder="1" applyAlignment="1">
      <alignment horizontal="center" vertical="top" shrinkToFit="1"/>
    </xf>
    <xf numFmtId="0" fontId="0" fillId="0" borderId="0" xfId="0" applyNumberFormat="1" applyFill="1" applyBorder="1" applyAlignment="1">
      <alignment horizontal="left" vertical="top"/>
    </xf>
    <xf numFmtId="0" fontId="0" fillId="0" borderId="4" xfId="0" applyBorder="1" applyAlignment="1">
      <alignment horizontal="center"/>
    </xf>
    <xf numFmtId="0" fontId="3" fillId="0" borderId="4" xfId="0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left" vertical="center" wrapText="1" indent="1"/>
    </xf>
    <xf numFmtId="9" fontId="0" fillId="0" borderId="4" xfId="0" applyNumberFormat="1" applyFill="1" applyBorder="1" applyAlignment="1">
      <alignment horizontal="left" vertical="top"/>
    </xf>
    <xf numFmtId="0" fontId="0" fillId="0" borderId="4" xfId="0" applyNumberFormat="1" applyFill="1" applyBorder="1" applyAlignment="1">
      <alignment horizontal="left" vertical="top"/>
    </xf>
    <xf numFmtId="0" fontId="3" fillId="0" borderId="4" xfId="0" applyFont="1" applyFill="1" applyBorder="1" applyAlignment="1">
      <alignment horizontal="left" vertical="center" wrapText="1"/>
    </xf>
    <xf numFmtId="9" fontId="3" fillId="0" borderId="4" xfId="0" applyNumberFormat="1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center" wrapText="1"/>
    </xf>
    <xf numFmtId="1" fontId="4" fillId="0" borderId="4" xfId="0" applyNumberFormat="1" applyFont="1" applyFill="1" applyBorder="1" applyAlignment="1">
      <alignment horizontal="center" vertical="top" shrinkToFit="1"/>
    </xf>
    <xf numFmtId="0" fontId="5" fillId="0" borderId="4" xfId="0" applyFont="1" applyFill="1" applyBorder="1" applyAlignment="1">
      <alignment horizontal="left" vertical="top" wrapText="1" indent="7"/>
    </xf>
    <xf numFmtId="164" fontId="4" fillId="0" borderId="4" xfId="0" applyNumberFormat="1" applyFont="1" applyFill="1" applyBorder="1" applyAlignment="1">
      <alignment horizontal="center" vertical="top" shrinkToFit="1"/>
    </xf>
    <xf numFmtId="0" fontId="0" fillId="0" borderId="4" xfId="0" applyFill="1" applyBorder="1" applyAlignment="1">
      <alignment horizontal="center" vertical="top"/>
    </xf>
    <xf numFmtId="9" fontId="4" fillId="0" borderId="4" xfId="0" applyNumberFormat="1" applyFont="1" applyFill="1" applyBorder="1" applyAlignment="1">
      <alignment horizontal="center" vertical="top" shrinkToFit="1"/>
    </xf>
    <xf numFmtId="0" fontId="5" fillId="0" borderId="4" xfId="0" applyFont="1" applyFill="1" applyBorder="1" applyAlignment="1">
      <alignment horizontal="left" vertical="top" wrapText="1" indent="4"/>
    </xf>
    <xf numFmtId="0" fontId="5" fillId="0" borderId="4" xfId="0" applyFont="1" applyFill="1" applyBorder="1" applyAlignment="1">
      <alignment horizontal="left" vertical="top" wrapText="1" indent="6"/>
    </xf>
    <xf numFmtId="0" fontId="5" fillId="0" borderId="4" xfId="0" applyFont="1" applyFill="1" applyBorder="1" applyAlignment="1">
      <alignment horizontal="left" vertical="top" wrapText="1" indent="3"/>
    </xf>
    <xf numFmtId="165" fontId="4" fillId="0" borderId="4" xfId="0" applyNumberFormat="1" applyFont="1" applyFill="1" applyBorder="1" applyAlignment="1">
      <alignment horizontal="center" vertical="top" shrinkToFit="1"/>
    </xf>
    <xf numFmtId="0" fontId="5" fillId="0" borderId="4" xfId="0" applyFont="1" applyFill="1" applyBorder="1" applyAlignment="1">
      <alignment horizontal="left" vertical="top" wrapText="1" indent="1"/>
    </xf>
    <xf numFmtId="0" fontId="5" fillId="0" borderId="4" xfId="0" applyFont="1" applyFill="1" applyBorder="1" applyAlignment="1">
      <alignment horizontal="left" vertical="top" wrapText="1" indent="2"/>
    </xf>
    <xf numFmtId="0" fontId="5" fillId="0" borderId="4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6" xfId="0" applyFont="1" applyFill="1" applyBorder="1" applyAlignment="1">
      <alignment horizontal="center" vertical="top" wrapText="1"/>
    </xf>
    <xf numFmtId="0" fontId="2" fillId="0" borderId="7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workbookViewId="0">
      <selection activeCell="N6" sqref="N6"/>
    </sheetView>
  </sheetViews>
  <sheetFormatPr defaultRowHeight="12.75"/>
  <cols>
    <col min="1" max="1" width="11.33203125" customWidth="1"/>
    <col min="2" max="2" width="40.5" customWidth="1"/>
    <col min="3" max="3" width="0.5" hidden="1" customWidth="1"/>
    <col min="4" max="4" width="4" hidden="1" customWidth="1"/>
    <col min="5" max="5" width="6.1640625" hidden="1" customWidth="1"/>
    <col min="6" max="6" width="10.5" style="2" hidden="1" customWidth="1"/>
    <col min="7" max="7" width="3.6640625" hidden="1" customWidth="1"/>
    <col min="8" max="8" width="3.1640625" hidden="1" customWidth="1"/>
    <col min="9" max="9" width="8.6640625" bestFit="1" customWidth="1"/>
    <col min="10" max="10" width="10.5" customWidth="1"/>
    <col min="11" max="11" width="13.5" customWidth="1"/>
    <col min="12" max="13" width="13.1640625" customWidth="1"/>
  </cols>
  <sheetData>
    <row r="1" spans="1:13" ht="18.600000000000001" customHeight="1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5"/>
    </row>
    <row r="2" spans="1:13" ht="15.75" customHeight="1">
      <c r="A2" s="26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8"/>
    </row>
    <row r="3" spans="1:13" ht="36" customHeight="1">
      <c r="A3" s="3" t="s">
        <v>19</v>
      </c>
      <c r="B3" s="4" t="s">
        <v>2</v>
      </c>
      <c r="C3" s="5" t="s">
        <v>3</v>
      </c>
      <c r="D3" s="6">
        <v>0.02</v>
      </c>
      <c r="E3" s="7"/>
      <c r="F3" s="8" t="s">
        <v>16</v>
      </c>
      <c r="G3" s="9">
        <v>0.03</v>
      </c>
      <c r="H3" s="8"/>
      <c r="I3" s="10" t="s">
        <v>18</v>
      </c>
      <c r="J3" s="4" t="s">
        <v>17</v>
      </c>
      <c r="K3" s="4" t="s">
        <v>4</v>
      </c>
    </row>
    <row r="4" spans="1:13" ht="14.1" customHeight="1">
      <c r="A4" s="11">
        <v>1</v>
      </c>
      <c r="B4" s="12" t="s">
        <v>5</v>
      </c>
      <c r="C4" s="13">
        <v>61.8</v>
      </c>
      <c r="D4" s="6">
        <v>0.02</v>
      </c>
      <c r="E4" s="7">
        <f>C4*D4</f>
        <v>1.236</v>
      </c>
      <c r="F4" s="11">
        <f>C4+E4</f>
        <v>63.035999999999994</v>
      </c>
      <c r="G4" s="9">
        <v>0.03</v>
      </c>
      <c r="H4" s="11">
        <f>F4*G4</f>
        <v>1.8910799999999997</v>
      </c>
      <c r="I4" s="14">
        <v>1</v>
      </c>
      <c r="J4" s="11">
        <f>F4+H4</f>
        <v>64.927079999999989</v>
      </c>
      <c r="K4" s="15">
        <v>0.12</v>
      </c>
    </row>
    <row r="5" spans="1:13" ht="13.7" customHeight="1">
      <c r="A5" s="11">
        <v>2</v>
      </c>
      <c r="B5" s="16" t="s">
        <v>6</v>
      </c>
      <c r="C5" s="13">
        <v>92.7</v>
      </c>
      <c r="D5" s="6">
        <v>0.02</v>
      </c>
      <c r="E5" s="7">
        <f t="shared" ref="E5:E14" si="0">C5*D5</f>
        <v>1.8540000000000001</v>
      </c>
      <c r="F5" s="11">
        <f t="shared" ref="F5:F14" si="1">C5+E5</f>
        <v>94.554000000000002</v>
      </c>
      <c r="G5" s="9">
        <v>0.03</v>
      </c>
      <c r="H5" s="11">
        <f t="shared" ref="H5:H14" si="2">F5*G5</f>
        <v>2.8366199999999999</v>
      </c>
      <c r="I5" s="14">
        <v>1</v>
      </c>
      <c r="J5" s="11">
        <f t="shared" ref="J4:J14" si="3">F5+H5</f>
        <v>97.390619999999998</v>
      </c>
      <c r="K5" s="15">
        <v>0.12</v>
      </c>
    </row>
    <row r="6" spans="1:13" ht="13.7" customHeight="1">
      <c r="A6" s="11">
        <v>3</v>
      </c>
      <c r="B6" s="17" t="s">
        <v>7</v>
      </c>
      <c r="C6" s="13">
        <v>72.099999999999994</v>
      </c>
      <c r="D6" s="6">
        <v>0.02</v>
      </c>
      <c r="E6" s="7">
        <f t="shared" si="0"/>
        <v>1.4419999999999999</v>
      </c>
      <c r="F6" s="11">
        <f t="shared" si="1"/>
        <v>73.541999999999987</v>
      </c>
      <c r="G6" s="9">
        <v>0.03</v>
      </c>
      <c r="H6" s="11">
        <f t="shared" si="2"/>
        <v>2.2062599999999994</v>
      </c>
      <c r="I6" s="14">
        <v>1</v>
      </c>
      <c r="J6" s="11">
        <f t="shared" si="3"/>
        <v>75.748259999999988</v>
      </c>
      <c r="K6" s="15">
        <v>0.12</v>
      </c>
    </row>
    <row r="7" spans="1:13" ht="13.7" customHeight="1">
      <c r="A7" s="11">
        <v>4</v>
      </c>
      <c r="B7" s="12" t="s">
        <v>8</v>
      </c>
      <c r="C7" s="13">
        <v>123.6</v>
      </c>
      <c r="D7" s="6">
        <v>0.02</v>
      </c>
      <c r="E7" s="7">
        <f t="shared" si="0"/>
        <v>2.472</v>
      </c>
      <c r="F7" s="11">
        <f t="shared" si="1"/>
        <v>126.07199999999999</v>
      </c>
      <c r="G7" s="9">
        <v>0.03</v>
      </c>
      <c r="H7" s="11">
        <f t="shared" si="2"/>
        <v>3.7821599999999993</v>
      </c>
      <c r="I7" s="14">
        <v>1</v>
      </c>
      <c r="J7" s="11">
        <f t="shared" si="3"/>
        <v>129.85415999999998</v>
      </c>
      <c r="K7" s="15">
        <v>0.05</v>
      </c>
    </row>
    <row r="8" spans="1:13" ht="13.7" customHeight="1">
      <c r="A8" s="11">
        <v>5</v>
      </c>
      <c r="B8" s="18" t="s">
        <v>9</v>
      </c>
      <c r="C8" s="13">
        <v>257.5</v>
      </c>
      <c r="D8" s="6">
        <v>0.02</v>
      </c>
      <c r="E8" s="7">
        <f t="shared" si="0"/>
        <v>5.15</v>
      </c>
      <c r="F8" s="11">
        <f t="shared" si="1"/>
        <v>262.64999999999998</v>
      </c>
      <c r="G8" s="9">
        <v>0.03</v>
      </c>
      <c r="H8" s="11">
        <f t="shared" si="2"/>
        <v>7.8794999999999993</v>
      </c>
      <c r="I8" s="14">
        <v>1</v>
      </c>
      <c r="J8" s="11">
        <f t="shared" si="3"/>
        <v>270.52949999999998</v>
      </c>
      <c r="K8" s="15">
        <v>0.05</v>
      </c>
    </row>
    <row r="9" spans="1:13" ht="13.7" customHeight="1">
      <c r="A9" s="11">
        <v>6</v>
      </c>
      <c r="B9" s="12" t="s">
        <v>10</v>
      </c>
      <c r="C9" s="13">
        <v>721</v>
      </c>
      <c r="D9" s="6">
        <v>0.02</v>
      </c>
      <c r="E9" s="7">
        <f t="shared" si="0"/>
        <v>14.42</v>
      </c>
      <c r="F9" s="11">
        <f t="shared" si="1"/>
        <v>735.42</v>
      </c>
      <c r="G9" s="9">
        <v>0.03</v>
      </c>
      <c r="H9" s="11">
        <f t="shared" si="2"/>
        <v>22.062599999999996</v>
      </c>
      <c r="I9" s="14">
        <v>1</v>
      </c>
      <c r="J9" s="11">
        <f t="shared" si="3"/>
        <v>757.48259999999993</v>
      </c>
      <c r="K9" s="15">
        <v>0.05</v>
      </c>
    </row>
    <row r="10" spans="1:13" ht="13.7" customHeight="1">
      <c r="A10" s="11">
        <v>7</v>
      </c>
      <c r="B10" s="18" t="s">
        <v>11</v>
      </c>
      <c r="C10" s="19">
        <v>1081.5</v>
      </c>
      <c r="D10" s="6">
        <v>0.02</v>
      </c>
      <c r="E10" s="7">
        <f t="shared" si="0"/>
        <v>21.63</v>
      </c>
      <c r="F10" s="11">
        <f t="shared" si="1"/>
        <v>1103.1300000000001</v>
      </c>
      <c r="G10" s="9">
        <v>0.03</v>
      </c>
      <c r="H10" s="11">
        <f t="shared" si="2"/>
        <v>33.093900000000005</v>
      </c>
      <c r="I10" s="14">
        <v>1</v>
      </c>
      <c r="J10" s="11">
        <f t="shared" si="3"/>
        <v>1136.2239000000002</v>
      </c>
      <c r="K10" s="15">
        <v>0.05</v>
      </c>
    </row>
    <row r="11" spans="1:13" ht="13.7" customHeight="1">
      <c r="A11" s="11">
        <v>8</v>
      </c>
      <c r="B11" s="20" t="s">
        <v>12</v>
      </c>
      <c r="C11" s="13">
        <v>66.95</v>
      </c>
      <c r="D11" s="6">
        <v>0.02</v>
      </c>
      <c r="E11" s="7">
        <f t="shared" si="0"/>
        <v>1.3390000000000002</v>
      </c>
      <c r="F11" s="11">
        <f t="shared" si="1"/>
        <v>68.289000000000001</v>
      </c>
      <c r="G11" s="9">
        <v>0.03</v>
      </c>
      <c r="H11" s="11">
        <f t="shared" si="2"/>
        <v>2.04867</v>
      </c>
      <c r="I11" s="14">
        <v>1</v>
      </c>
      <c r="J11" s="11">
        <f t="shared" si="3"/>
        <v>70.337670000000003</v>
      </c>
      <c r="K11" s="15">
        <v>0.12</v>
      </c>
    </row>
    <row r="12" spans="1:13" ht="13.7" customHeight="1">
      <c r="A12" s="11">
        <v>9</v>
      </c>
      <c r="B12" s="21" t="s">
        <v>13</v>
      </c>
      <c r="C12" s="13">
        <v>87.55</v>
      </c>
      <c r="D12" s="6">
        <v>0.02</v>
      </c>
      <c r="E12" s="7">
        <f t="shared" si="0"/>
        <v>1.7509999999999999</v>
      </c>
      <c r="F12" s="11">
        <f t="shared" si="1"/>
        <v>89.301000000000002</v>
      </c>
      <c r="G12" s="9">
        <v>0.03</v>
      </c>
      <c r="H12" s="11">
        <f t="shared" si="2"/>
        <v>2.67903</v>
      </c>
      <c r="I12" s="14">
        <v>1</v>
      </c>
      <c r="J12" s="11">
        <f t="shared" si="3"/>
        <v>91.980029999999999</v>
      </c>
      <c r="K12" s="15">
        <v>0.12</v>
      </c>
    </row>
    <row r="13" spans="1:13" ht="13.7" customHeight="1">
      <c r="A13" s="11">
        <v>10</v>
      </c>
      <c r="B13" s="22" t="s">
        <v>14</v>
      </c>
      <c r="C13" s="13">
        <v>206</v>
      </c>
      <c r="D13" s="6">
        <v>0.02</v>
      </c>
      <c r="E13" s="7">
        <f t="shared" si="0"/>
        <v>4.12</v>
      </c>
      <c r="F13" s="11">
        <f t="shared" si="1"/>
        <v>210.12</v>
      </c>
      <c r="G13" s="9">
        <v>0.03</v>
      </c>
      <c r="H13" s="11">
        <f t="shared" si="2"/>
        <v>6.3036000000000003</v>
      </c>
      <c r="I13" s="14">
        <v>1</v>
      </c>
      <c r="J13" s="11">
        <f t="shared" si="3"/>
        <v>216.42359999999999</v>
      </c>
      <c r="K13" s="15">
        <v>0.12</v>
      </c>
    </row>
    <row r="14" spans="1:13" ht="13.5" customHeight="1">
      <c r="A14" s="11">
        <v>11</v>
      </c>
      <c r="B14" s="22" t="s">
        <v>15</v>
      </c>
      <c r="C14" s="13">
        <v>206</v>
      </c>
      <c r="D14" s="6">
        <v>0.02</v>
      </c>
      <c r="E14" s="7">
        <f t="shared" si="0"/>
        <v>4.12</v>
      </c>
      <c r="F14" s="11">
        <f t="shared" si="1"/>
        <v>210.12</v>
      </c>
      <c r="G14" s="9">
        <v>0.03</v>
      </c>
      <c r="H14" s="11">
        <f t="shared" si="2"/>
        <v>6.3036000000000003</v>
      </c>
      <c r="I14" s="14">
        <v>1</v>
      </c>
      <c r="J14" s="11">
        <f t="shared" si="3"/>
        <v>216.42359999999999</v>
      </c>
      <c r="K14" s="15">
        <v>0.12</v>
      </c>
    </row>
    <row r="15" spans="1:13" ht="13.7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1"/>
      <c r="M15" s="1"/>
    </row>
    <row r="16" spans="1:13" ht="13.7" customHeight="1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</sheetData>
  <mergeCells count="4">
    <mergeCell ref="A1:K1"/>
    <mergeCell ref="A2:K2"/>
    <mergeCell ref="A15:K15"/>
    <mergeCell ref="A16:M16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2025-10-21T10:53:20Z</dcterms:created>
  <dcterms:modified xsi:type="dcterms:W3CDTF">2025-10-21T11:08:41Z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2025-10-21T00:00:00Z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2025-10-21T00:00:00Z</vt:filetime>
  </property>
</Properties>
</file>