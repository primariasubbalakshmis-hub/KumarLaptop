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upply Chain\October Month\Sivani Supply Chain\"/>
    </mc:Choice>
  </mc:AlternateContent>
  <bookViews>
    <workbookView xWindow="-105" yWindow="-105" windowWidth="23250" windowHeight="12450" activeTab="2"/>
  </bookViews>
  <sheets>
    <sheet name="Sivani" sheetId="1" r:id="rId1"/>
    <sheet name="Overal Work Update" sheetId="2" r:id="rId2"/>
    <sheet name="Sales Report" sheetId="3" r:id="rId3"/>
    <sheet name="Stock Inventory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 a="1"/>
  <c r="G7" i="4" s="1"/>
  <c r="F7" i="4" a="1"/>
  <c r="F7" i="4" s="1"/>
  <c r="I39" i="2"/>
  <c r="H39" i="2"/>
  <c r="G39" i="2"/>
  <c r="F39" i="2"/>
  <c r="E39" i="2"/>
  <c r="G13" i="4"/>
  <c r="G12" i="4"/>
  <c r="G11" i="4"/>
  <c r="G10" i="4"/>
  <c r="G9" i="4"/>
  <c r="G8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<sst xmlns="http://schemas.openxmlformats.org/spreadsheetml/2006/main" count="103" uniqueCount="100">
  <si>
    <t>Sivani</t>
  </si>
  <si>
    <t>Office Work</t>
  </si>
  <si>
    <t xml:space="preserve">Name  : Ch.Sivani </t>
  </si>
  <si>
    <t>Work Update</t>
  </si>
  <si>
    <t xml:space="preserve">Date </t>
  </si>
  <si>
    <t xml:space="preserve">Work Update  </t>
  </si>
  <si>
    <t xml:space="preserve">Quotations </t>
  </si>
  <si>
    <t>Purchase Orders</t>
  </si>
  <si>
    <t>Deliverys</t>
  </si>
  <si>
    <t xml:space="preserve">Amount </t>
  </si>
  <si>
    <t xml:space="preserve">Received </t>
  </si>
  <si>
    <t>Pending</t>
  </si>
  <si>
    <t>Worked on Previous Requirement price list</t>
  </si>
  <si>
    <t xml:space="preserve">S.No </t>
  </si>
  <si>
    <t>Account holder</t>
  </si>
  <si>
    <t>QTY</t>
  </si>
  <si>
    <t>Box Price (MRP) Rs</t>
  </si>
  <si>
    <t xml:space="preserve">Buying Price ( Unit price  with GST  ) </t>
  </si>
  <si>
    <t xml:space="preserve">Selling price for Each unit  with GST  </t>
  </si>
  <si>
    <t xml:space="preserve">Actual Sale Price </t>
  </si>
  <si>
    <t xml:space="preserve">Loss / Profit Difference </t>
  </si>
  <si>
    <t xml:space="preserve">Net Revenue </t>
  </si>
  <si>
    <t xml:space="preserve">Profit or Loss </t>
  </si>
  <si>
    <t>Total</t>
  </si>
  <si>
    <t>Supply Chain Management - Month of September</t>
  </si>
  <si>
    <t>Sales Update</t>
  </si>
  <si>
    <t xml:space="preserve">Product Name / Brand Name </t>
  </si>
  <si>
    <t>S.No</t>
  </si>
  <si>
    <t>Curent In Inventory</t>
  </si>
  <si>
    <t>Inventory Status</t>
  </si>
  <si>
    <t xml:space="preserve">Item </t>
  </si>
  <si>
    <t>Qty</t>
  </si>
  <si>
    <t>In Stock</t>
  </si>
  <si>
    <t>Out of Stock</t>
  </si>
  <si>
    <t>Sodium Hypochlorite 5.2% Safeendo 500ml</t>
  </si>
  <si>
    <t>GIC FILLING SHOFU</t>
  </si>
  <si>
    <t>Cold Cure Liquid and Powder 400g Pyrex</t>
  </si>
  <si>
    <t>GIC FILLING KETAC MOLAR 3M</t>
  </si>
  <si>
    <t>Developer 500ml Samit</t>
  </si>
  <si>
    <t>GIC LUTING KETAC CEM</t>
  </si>
  <si>
    <t>Radiopaque Calcium Hydroxide base and catalyst Dentsply</t>
  </si>
  <si>
    <t>Dental Suction tips (100 tips)</t>
  </si>
  <si>
    <t>Root Canal Sealer safe endo</t>
  </si>
  <si>
    <t>KALABHAI DENTAL STONE 3KG PACK</t>
  </si>
  <si>
    <t>Root canal Sealer Bio ceramics RCS Safe Endo</t>
  </si>
  <si>
    <t>Cotton roll ORO (1000PC)</t>
  </si>
  <si>
    <t>Eugenol DPI 110gm</t>
  </si>
  <si>
    <t>SELF SEALING STERI POUCH</t>
  </si>
  <si>
    <t>Fixer 500 ml Samit</t>
  </si>
  <si>
    <t>Denture Adhesive Powder ICPA</t>
  </si>
  <si>
    <t>IMPRESSION COMPOUND CAKES Y DENT</t>
  </si>
  <si>
    <t>Impression Material Alginate Dust Free 450 GM ORIKAM</t>
  </si>
  <si>
    <t>Impression Material ZnoE DPI</t>
  </si>
  <si>
    <t>Modelling Wax MAARC</t>
  </si>
  <si>
    <t>Occlusal Film (Pack of 25) CARESTREAM</t>
  </si>
  <si>
    <t>Plugger 15-40 assorted MANI</t>
  </si>
  <si>
    <t>Polishing Paste 100 GM DPI</t>
  </si>
  <si>
    <t>POLY CARBOXYLATE PREVEST</t>
  </si>
  <si>
    <t>Temporary Filling ORA FILL G</t>
  </si>
  <si>
    <t>Articulating Paper MAARC (12 sheets each)</t>
  </si>
  <si>
    <t>Composite Syringe 3M Z250</t>
  </si>
  <si>
    <t>Crown and Bridge prep. kit Shofu</t>
  </si>
  <si>
    <t>DENTAL IOPA X RAY FILM PEDO Carestream (pack of 100)</t>
  </si>
  <si>
    <t>DENTAL IOPA X RAY FILM ADULT Carestream (pack of 150)</t>
  </si>
  <si>
    <t>Diamond Bur Assorted MANI P/5</t>
  </si>
  <si>
    <t>Calcium Hydroxide Root Canal medicament 2GM AVUECAl</t>
  </si>
  <si>
    <t>DIE STONE KALABHAI (3KG/PACK) 2PC</t>
  </si>
  <si>
    <t>FLEXI FILES 15-40 K FILE MANI</t>
  </si>
  <si>
    <t>GP POINT 25-45 SET META REFILL</t>
  </si>
  <si>
    <t>GP POINT ASSORTED 15-80 SET META</t>
  </si>
  <si>
    <t>PARACORE COLTENE KIT</t>
  </si>
  <si>
    <t>FIBER POST KIT</t>
  </si>
  <si>
    <t>H FILES 10, 15-40 (21MM) MANI (10 SET EACH)</t>
  </si>
  <si>
    <t>H FILES ASSORTED SET 15-40 , 45-80 (21MM ) 10 SET EACH MANI</t>
  </si>
  <si>
    <t>K FILES SET 6, 10, 15-45 (4SET EACH) MANI</t>
  </si>
  <si>
    <t>K FILES ASSORTED 15-40 , 45-80 (20 SETS EACH) MANI</t>
  </si>
  <si>
    <t>PROTAPER HAND ASSORTED 21MM DENTSPLY</t>
  </si>
  <si>
    <t>PROTAPER HAND ASSORTED 25MM DENTSPLY</t>
  </si>
  <si>
    <t>GREEN STICK DPI (10 PACK)</t>
  </si>
  <si>
    <t>ZINC PHOSPHATE CEMENT PREVEST</t>
  </si>
  <si>
    <t>PRO TAPER GP ASSORTED PACK META</t>
  </si>
  <si>
    <t>PRO TAPER GP(F2, F2 ,F3) META</t>
  </si>
  <si>
    <t>CALCIUM HYDROXIDE POWDER</t>
  </si>
  <si>
    <t>HYDROGEN PEROXIDE 400ML</t>
  </si>
  <si>
    <t>EXAMINATION GLOVES PRE PRE POWDERED</t>
  </si>
  <si>
    <t>EXAMINATION GLOVES POWDER FREE</t>
  </si>
  <si>
    <t>Month of October- Stock Inventory</t>
  </si>
  <si>
    <t>2. AMTZ Salva Sir requested the detailed specifications of the products. Accordingly, I informed our salesman to collect the product specifications and pictures as per the customer’s requirements. He assured that he will provide the updates shortly.</t>
  </si>
  <si>
    <t xml:space="preserve"> I have worked on the previously given requirements list and shared the remaining products list with AMTZ for the price list.</t>
  </si>
  <si>
    <t>Supply Chain - Daily Work Report for The Month of October</t>
  </si>
  <si>
    <t>Dr.Bhavani Prasad</t>
  </si>
  <si>
    <t>IOPA X-ray (portable)</t>
  </si>
  <si>
    <t>GST %</t>
  </si>
  <si>
    <t>Dussehra</t>
  </si>
  <si>
    <t xml:space="preserve">Given Quotation to Sunshine Hospital </t>
  </si>
  <si>
    <t xml:space="preserve">Waiting for the Customer </t>
  </si>
  <si>
    <t>Acc Holder</t>
  </si>
  <si>
    <t>Quotation Given to Sunshine Hospital - Requirement Portable X-ray</t>
  </si>
  <si>
    <t>91,314.3/-</t>
  </si>
  <si>
    <t>Waiting for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</si>
</sst>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Calibri"/>
      <charset val="134"/>
    </font>
    <font>
      <b/>
      <sz val="11"/>
      <color indexed="8"/>
      <name val="Times New Roman"/>
      <charset val="134"/>
    </font>
    <font>
      <sz val="11"/>
      <color indexed="9"/>
      <name val="Calibri"/>
      <charset val="134"/>
    </font>
    <font>
      <sz val="9"/>
      <name val="Times New Roman"/>
      <charset val="134"/>
    </font>
    <font>
      <b/>
      <sz val="11"/>
      <color indexed="8"/>
      <name val="Times New Roman"/>
      <family val="1"/>
    </font>
    <font>
      <sz val="10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 applyProtection="1"/>
    <xf numFmtId="0" fontId="4" fillId="8" borderId="0" xfId="0" applyNumberFormat="1" applyFont="1" applyFill="1" applyBorder="1" applyAlignment="1" applyProtection="1">
      <alignment horizontal="left"/>
    </xf>
    <xf numFmtId="0" fontId="4" fillId="9" borderId="0" xfId="0" applyNumberFormat="1" applyFont="1" applyFill="1" applyBorder="1" applyAlignment="1" applyProtection="1">
      <alignment horizontal="center"/>
    </xf>
    <xf numFmtId="0" fontId="3" fillId="10" borderId="0" xfId="0" applyNumberFormat="1" applyFont="1" applyFill="1" applyBorder="1" applyAlignment="1" applyProtection="1"/>
    <xf numFmtId="0" fontId="5" fillId="11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9" fontId="1" fillId="0" borderId="0" xfId="0" applyNumberFormat="1" applyFont="1"/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5" borderId="0" xfId="0" applyNumberFormat="1" applyFont="1" applyFill="1" applyBorder="1" applyAlignment="1" applyProtection="1">
      <alignment horizontal="center"/>
    </xf>
    <xf numFmtId="0" fontId="4" fillId="6" borderId="0" xfId="0" applyNumberFormat="1" applyFont="1" applyFill="1" applyBorder="1" applyAlignment="1" applyProtection="1">
      <alignment horizontal="center"/>
    </xf>
    <xf numFmtId="0" fontId="3" fillId="7" borderId="0" xfId="0" applyNumberFormat="1" applyFont="1" applyFill="1" applyBorder="1" applyAlignment="1" applyProtection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1"/>
  <sheetViews>
    <sheetView topLeftCell="A4" workbookViewId="0">
      <selection activeCell="I9" sqref="I9"/>
    </sheetView>
  </sheetViews>
  <sheetFormatPr defaultColWidth="8.85546875" defaultRowHeight="15"/>
  <cols>
    <col min="1" max="1" width="8.85546875" style="1"/>
    <col min="2" max="2" width="10.85546875" style="1" customWidth="1"/>
    <col min="3" max="3" width="64.140625" style="1" customWidth="1"/>
    <col min="4" max="16384" width="8.85546875" style="1"/>
  </cols>
  <sheetData>
    <row r="2" spans="2:12">
      <c r="B2" s="23" t="s">
        <v>89</v>
      </c>
      <c r="C2" s="23"/>
      <c r="D2" s="23"/>
      <c r="E2" s="23"/>
      <c r="F2" s="23"/>
    </row>
    <row r="3" spans="2:12">
      <c r="B3" s="20"/>
      <c r="C3" s="20"/>
      <c r="D3" s="20"/>
      <c r="E3" s="20"/>
    </row>
    <row r="4" spans="2:12">
      <c r="B4" s="20"/>
      <c r="C4" s="3">
        <v>45931</v>
      </c>
      <c r="D4" s="20"/>
      <c r="E4" s="20"/>
    </row>
    <row r="5" spans="2:12">
      <c r="F5" s="19"/>
      <c r="G5" s="19"/>
      <c r="H5" s="19"/>
      <c r="I5" s="19"/>
      <c r="J5" s="19"/>
      <c r="K5" s="19"/>
      <c r="L5" s="19"/>
    </row>
    <row r="6" spans="2:12" ht="30">
      <c r="B6" s="21" t="s">
        <v>0</v>
      </c>
      <c r="C6" s="4" t="s">
        <v>88</v>
      </c>
    </row>
    <row r="7" spans="2:12" ht="60">
      <c r="C7" s="4" t="s">
        <v>87</v>
      </c>
      <c r="D7" s="19"/>
      <c r="E7" s="19"/>
    </row>
    <row r="8" spans="2:12">
      <c r="C8" s="1" t="s">
        <v>1</v>
      </c>
    </row>
    <row r="10" spans="2:12">
      <c r="C10" s="3">
        <v>45933</v>
      </c>
    </row>
    <row r="11" spans="2:12">
      <c r="B11" s="21" t="s">
        <v>0</v>
      </c>
      <c r="C11" s="1" t="s">
        <v>97</v>
      </c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9"/>
  <sheetViews>
    <sheetView workbookViewId="0">
      <selection activeCell="J6" sqref="J6:J7"/>
    </sheetView>
  </sheetViews>
  <sheetFormatPr defaultColWidth="9.140625" defaultRowHeight="15"/>
  <cols>
    <col min="1" max="1" width="9.140625" style="1"/>
    <col min="2" max="2" width="12" style="1" customWidth="1"/>
    <col min="3" max="3" width="17.42578125" style="1" bestFit="1" customWidth="1"/>
    <col min="4" max="4" width="40.5703125" style="1" customWidth="1"/>
    <col min="5" max="5" width="14.5703125" style="1" customWidth="1"/>
    <col min="6" max="6" width="23.28515625" style="1" bestFit="1" customWidth="1"/>
    <col min="7" max="7" width="15.140625" style="1" customWidth="1"/>
    <col min="8" max="8" width="14.85546875" style="1" customWidth="1"/>
    <col min="9" max="9" width="15.5703125" style="1" customWidth="1"/>
    <col min="10" max="16384" width="9.140625" style="1"/>
  </cols>
  <sheetData>
    <row r="2" spans="2:10">
      <c r="B2" s="1" t="s">
        <v>24</v>
      </c>
      <c r="E2" s="2"/>
      <c r="F2" s="2"/>
      <c r="G2" s="2"/>
      <c r="H2" s="2"/>
      <c r="I2" s="2"/>
    </row>
    <row r="3" spans="2:10">
      <c r="B3" s="1" t="s">
        <v>2</v>
      </c>
      <c r="E3" s="2"/>
      <c r="F3" s="2"/>
      <c r="G3" s="2"/>
      <c r="H3" s="2"/>
      <c r="I3" s="2"/>
    </row>
    <row r="4" spans="2:10">
      <c r="B4" s="1" t="s">
        <v>3</v>
      </c>
      <c r="E4" s="2"/>
      <c r="F4" s="2"/>
      <c r="G4" s="2"/>
      <c r="H4" s="2"/>
      <c r="I4" s="2"/>
    </row>
    <row r="5" spans="2:10">
      <c r="E5" s="2"/>
      <c r="F5" s="2"/>
      <c r="G5" s="2"/>
      <c r="H5" s="2"/>
      <c r="I5" s="2"/>
    </row>
    <row r="6" spans="2:10">
      <c r="B6" s="24" t="s">
        <v>4</v>
      </c>
      <c r="C6" s="27" t="s">
        <v>96</v>
      </c>
      <c r="D6" s="27" t="s">
        <v>5</v>
      </c>
      <c r="E6" s="27" t="s">
        <v>6</v>
      </c>
      <c r="F6" s="27" t="s">
        <v>7</v>
      </c>
      <c r="G6" s="27" t="s">
        <v>8</v>
      </c>
      <c r="H6" s="25" t="s">
        <v>9</v>
      </c>
      <c r="I6" s="26"/>
      <c r="J6" s="32"/>
    </row>
    <row r="7" spans="2:10">
      <c r="B7" s="24"/>
      <c r="C7" s="28"/>
      <c r="D7" s="28"/>
      <c r="E7" s="28"/>
      <c r="F7" s="28"/>
      <c r="G7" s="28"/>
      <c r="H7" s="7" t="s">
        <v>10</v>
      </c>
      <c r="I7" s="7" t="s">
        <v>11</v>
      </c>
      <c r="J7" s="32"/>
    </row>
    <row r="8" spans="2:10" ht="17.25" customHeight="1">
      <c r="B8" s="3">
        <v>45931</v>
      </c>
      <c r="C8" s="3"/>
      <c r="D8" s="4" t="s">
        <v>12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2:10">
      <c r="B9" s="3">
        <v>45932</v>
      </c>
      <c r="C9" s="3"/>
      <c r="D9" s="1" t="s">
        <v>93</v>
      </c>
    </row>
    <row r="10" spans="2:10">
      <c r="B10" s="3">
        <v>45933</v>
      </c>
      <c r="C10" s="3" t="s">
        <v>90</v>
      </c>
      <c r="D10" s="1" t="s">
        <v>94</v>
      </c>
      <c r="E10" s="2">
        <v>1</v>
      </c>
      <c r="F10" s="1" t="s">
        <v>95</v>
      </c>
      <c r="G10" s="2">
        <v>0</v>
      </c>
      <c r="H10" s="2">
        <v>0</v>
      </c>
      <c r="I10" s="2">
        <v>0</v>
      </c>
    </row>
    <row r="11" spans="2:10">
      <c r="B11" s="3">
        <v>45934</v>
      </c>
      <c r="C11" s="3"/>
    </row>
    <row r="12" spans="2:10">
      <c r="B12" s="3">
        <v>45935</v>
      </c>
      <c r="C12" s="3"/>
    </row>
    <row r="13" spans="2:10">
      <c r="B13" s="3">
        <v>45936</v>
      </c>
      <c r="C13" s="3"/>
    </row>
    <row r="14" spans="2:10">
      <c r="B14" s="3">
        <v>45937</v>
      </c>
      <c r="C14" s="3"/>
    </row>
    <row r="15" spans="2:10">
      <c r="B15" s="3">
        <v>45938</v>
      </c>
      <c r="C15" s="3"/>
    </row>
    <row r="16" spans="2:10">
      <c r="B16" s="3">
        <v>45939</v>
      </c>
      <c r="C16" s="3"/>
    </row>
    <row r="17" spans="2:3">
      <c r="B17" s="3">
        <v>45940</v>
      </c>
      <c r="C17" s="3"/>
    </row>
    <row r="18" spans="2:3">
      <c r="B18" s="3">
        <v>45941</v>
      </c>
      <c r="C18" s="3"/>
    </row>
    <row r="19" spans="2:3">
      <c r="B19" s="3">
        <v>45942</v>
      </c>
      <c r="C19" s="3"/>
    </row>
    <row r="20" spans="2:3">
      <c r="B20" s="3">
        <v>45943</v>
      </c>
      <c r="C20" s="3"/>
    </row>
    <row r="21" spans="2:3">
      <c r="B21" s="3">
        <v>45944</v>
      </c>
      <c r="C21" s="3"/>
    </row>
    <row r="22" spans="2:3">
      <c r="B22" s="3">
        <v>45945</v>
      </c>
      <c r="C22" s="3"/>
    </row>
    <row r="23" spans="2:3">
      <c r="B23" s="3">
        <v>45946</v>
      </c>
      <c r="C23" s="3"/>
    </row>
    <row r="24" spans="2:3">
      <c r="B24" s="3">
        <v>45947</v>
      </c>
      <c r="C24" s="3"/>
    </row>
    <row r="25" spans="2:3">
      <c r="B25" s="3">
        <v>45948</v>
      </c>
      <c r="C25" s="3"/>
    </row>
    <row r="26" spans="2:3">
      <c r="B26" s="3">
        <v>45949</v>
      </c>
      <c r="C26" s="3"/>
    </row>
    <row r="27" spans="2:3">
      <c r="B27" s="3">
        <v>45950</v>
      </c>
      <c r="C27" s="3"/>
    </row>
    <row r="28" spans="2:3">
      <c r="B28" s="3">
        <v>45951</v>
      </c>
      <c r="C28" s="3"/>
    </row>
    <row r="29" spans="2:3">
      <c r="B29" s="3">
        <v>45952</v>
      </c>
      <c r="C29" s="3"/>
    </row>
    <row r="30" spans="2:3">
      <c r="B30" s="3">
        <v>45953</v>
      </c>
      <c r="C30" s="3"/>
    </row>
    <row r="31" spans="2:3">
      <c r="B31" s="3">
        <v>45954</v>
      </c>
      <c r="C31" s="3"/>
    </row>
    <row r="32" spans="2:3">
      <c r="B32" s="3">
        <v>45955</v>
      </c>
      <c r="C32" s="3"/>
    </row>
    <row r="33" spans="2:9">
      <c r="B33" s="3">
        <v>45956</v>
      </c>
      <c r="C33" s="3"/>
    </row>
    <row r="34" spans="2:9">
      <c r="B34" s="3">
        <v>45957</v>
      </c>
      <c r="C34" s="3"/>
    </row>
    <row r="35" spans="2:9">
      <c r="B35" s="3">
        <v>45958</v>
      </c>
      <c r="C35" s="3"/>
    </row>
    <row r="36" spans="2:9">
      <c r="B36" s="3">
        <v>45959</v>
      </c>
      <c r="C36" s="3"/>
    </row>
    <row r="37" spans="2:9">
      <c r="B37" s="3">
        <v>45960</v>
      </c>
      <c r="C37" s="3"/>
    </row>
    <row r="38" spans="2:9">
      <c r="B38" s="3">
        <v>45961</v>
      </c>
      <c r="C38" s="3"/>
    </row>
    <row r="39" spans="2:9">
      <c r="D39" s="5" t="s">
        <v>23</v>
      </c>
      <c r="E39" s="6">
        <f>SUM(E8:E38)</f>
        <v>1</v>
      </c>
      <c r="F39" s="6">
        <f>SUM(F8:F38)</f>
        <v>0</v>
      </c>
      <c r="G39" s="6">
        <f>SUM(G8:G38)</f>
        <v>0</v>
      </c>
      <c r="H39" s="6">
        <f>SUM(H8:H38)</f>
        <v>0</v>
      </c>
      <c r="I39" s="6">
        <f>SUM(I8:I38)</f>
        <v>0</v>
      </c>
    </row>
  </sheetData>
  <mergeCells count="8">
    <mergeCell ref="J6:J7"/>
    <mergeCell ref="B6:B7"/>
    <mergeCell ref="H6:I6"/>
    <mergeCell ref="D6:D7"/>
    <mergeCell ref="E6:E7"/>
    <mergeCell ref="F6:F7"/>
    <mergeCell ref="G6:G7"/>
    <mergeCell ref="C6:C7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2"/>
  <sheetViews>
    <sheetView tabSelected="1" workbookViewId="0">
      <selection activeCell="J9" sqref="J9"/>
    </sheetView>
  </sheetViews>
  <sheetFormatPr defaultRowHeight="15"/>
  <cols>
    <col min="2" max="2" width="6" bestFit="1" customWidth="1"/>
    <col min="3" max="3" width="17" bestFit="1" customWidth="1"/>
    <col min="4" max="4" width="28.42578125" bestFit="1" customWidth="1"/>
    <col min="5" max="5" width="5.5703125" bestFit="1" customWidth="1"/>
    <col min="6" max="6" width="20.7109375" bestFit="1" customWidth="1"/>
    <col min="7" max="8" width="12.140625" customWidth="1"/>
    <col min="9" max="9" width="13.7109375" customWidth="1"/>
    <col min="10" max="10" width="14.28515625" customWidth="1"/>
    <col min="11" max="11" width="13.85546875" customWidth="1"/>
    <col min="12" max="12" width="15.7109375" customWidth="1"/>
    <col min="13" max="13" width="17" customWidth="1"/>
  </cols>
  <sheetData>
    <row r="2" spans="2:13">
      <c r="B2" s="1" t="s">
        <v>24</v>
      </c>
    </row>
    <row r="3" spans="2:13">
      <c r="B3" s="1" t="s">
        <v>25</v>
      </c>
    </row>
    <row r="4" spans="2:13">
      <c r="B4" s="1"/>
    </row>
    <row r="6" spans="2:13" ht="57">
      <c r="B6" s="8" t="s">
        <v>13</v>
      </c>
      <c r="C6" s="8" t="s">
        <v>14</v>
      </c>
      <c r="D6" s="8" t="s">
        <v>26</v>
      </c>
      <c r="E6" s="8" t="s">
        <v>15</v>
      </c>
      <c r="F6" s="9" t="s">
        <v>16</v>
      </c>
      <c r="G6" s="10" t="s">
        <v>17</v>
      </c>
      <c r="H6" s="10" t="s">
        <v>92</v>
      </c>
      <c r="I6" s="10" t="s">
        <v>18</v>
      </c>
      <c r="J6" s="10" t="s">
        <v>19</v>
      </c>
      <c r="K6" s="10" t="s">
        <v>20</v>
      </c>
      <c r="L6" s="9" t="s">
        <v>21</v>
      </c>
      <c r="M6" s="9" t="s">
        <v>22</v>
      </c>
    </row>
    <row r="7" spans="2:13">
      <c r="B7" s="2">
        <v>1</v>
      </c>
      <c r="C7" s="1" t="s">
        <v>90</v>
      </c>
      <c r="D7" s="1" t="s">
        <v>91</v>
      </c>
      <c r="E7" s="1">
        <v>1</v>
      </c>
      <c r="F7" s="1"/>
      <c r="G7" s="1">
        <v>73700</v>
      </c>
      <c r="H7" s="22">
        <v>0.18</v>
      </c>
      <c r="I7" s="1" t="s">
        <v>98</v>
      </c>
      <c r="J7" s="1" t="s">
        <v>99</v>
      </c>
      <c r="K7" s="1"/>
      <c r="L7" s="1"/>
      <c r="M7" s="1"/>
    </row>
    <row r="12" spans="2:13">
      <c r="D12" s="1"/>
      <c r="E12" s="1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85"/>
  <sheetViews>
    <sheetView workbookViewId="0">
      <selection activeCell="C66" sqref="C66"/>
    </sheetView>
  </sheetViews>
  <sheetFormatPr defaultColWidth="8.85546875" defaultRowHeight="15"/>
  <cols>
    <col min="1" max="1" width="8.85546875" style="11"/>
    <col min="2" max="2" width="4.85546875" style="11" bestFit="1" customWidth="1"/>
    <col min="3" max="3" width="54.7109375" style="11" bestFit="1" customWidth="1"/>
    <col min="4" max="4" width="4.28515625" style="11" bestFit="1" customWidth="1"/>
    <col min="5" max="5" width="8.85546875" style="11"/>
    <col min="6" max="6" width="54.7109375" style="11" bestFit="1" customWidth="1"/>
    <col min="7" max="7" width="31" style="11" bestFit="1" customWidth="1"/>
    <col min="8" max="16384" width="8.85546875" style="11"/>
  </cols>
  <sheetData>
    <row r="3" spans="2:7">
      <c r="C3" s="18" t="s">
        <v>86</v>
      </c>
    </row>
    <row r="5" spans="2:7">
      <c r="B5" s="29" t="s">
        <v>27</v>
      </c>
      <c r="C5" s="30" t="s">
        <v>28</v>
      </c>
      <c r="D5" s="30"/>
      <c r="F5" s="31" t="s">
        <v>29</v>
      </c>
      <c r="G5" s="31"/>
    </row>
    <row r="6" spans="2:7">
      <c r="B6" s="29"/>
      <c r="C6" s="12" t="s">
        <v>30</v>
      </c>
      <c r="D6" s="13" t="s">
        <v>31</v>
      </c>
      <c r="F6" s="14" t="s">
        <v>32</v>
      </c>
      <c r="G6" s="15" t="s">
        <v>33</v>
      </c>
    </row>
    <row r="7" spans="2:7">
      <c r="B7" s="16">
        <v>1</v>
      </c>
      <c r="C7" s="11" t="s">
        <v>34</v>
      </c>
      <c r="D7" s="17">
        <v>1</v>
      </c>
      <c r="F7" s="11" t="str" cm="1">
        <f t="array" ref="F7:F51">_xlfn._xlws.FILTER(C7:C58,D7:D58&gt;0)</f>
        <v>Sodium Hypochlorite 5.2% Safeendo 500ml</v>
      </c>
      <c r="G7" s="11" t="str" cm="1">
        <f t="array" ref="G7:G13">_xlfn._xlws.FILTER(C7:C58,D7:D58=0)</f>
        <v>GIC FILLING SHOFU</v>
      </c>
    </row>
    <row r="8" spans="2:7">
      <c r="B8" s="16">
        <v>2</v>
      </c>
      <c r="C8" s="11" t="s">
        <v>36</v>
      </c>
      <c r="D8" s="17">
        <v>1</v>
      </c>
      <c r="F8" s="11" t="str">
        <v>Cold Cure Liquid and Powder 400g Pyrex</v>
      </c>
      <c r="G8" s="11" t="str">
        <v>GIC FILLING KETAC MOLAR 3M</v>
      </c>
    </row>
    <row r="9" spans="2:7">
      <c r="B9" s="16">
        <v>3</v>
      </c>
      <c r="C9" s="11" t="s">
        <v>38</v>
      </c>
      <c r="D9" s="17">
        <v>1</v>
      </c>
      <c r="F9" s="11" t="str">
        <v>Developer 500ml Samit</v>
      </c>
      <c r="G9" s="11" t="str">
        <v>GIC LUTING KETAC CEM</v>
      </c>
    </row>
    <row r="10" spans="2:7">
      <c r="B10" s="16">
        <v>4</v>
      </c>
      <c r="C10" s="11" t="s">
        <v>40</v>
      </c>
      <c r="D10" s="17">
        <v>1</v>
      </c>
      <c r="F10" s="11" t="str">
        <v>Radiopaque Calcium Hydroxide base and catalyst Dentsply</v>
      </c>
      <c r="G10" s="11" t="str">
        <v>KALABHAI DENTAL STONE 3KG PACK</v>
      </c>
    </row>
    <row r="11" spans="2:7">
      <c r="B11" s="16">
        <v>5</v>
      </c>
      <c r="C11" s="11" t="s">
        <v>42</v>
      </c>
      <c r="D11" s="17">
        <v>1</v>
      </c>
      <c r="F11" s="11" t="str">
        <v>Root Canal Sealer safe endo</v>
      </c>
      <c r="G11" s="11" t="str">
        <v>Dental Suction tips (100 tips)</v>
      </c>
    </row>
    <row r="12" spans="2:7">
      <c r="B12" s="16">
        <v>6</v>
      </c>
      <c r="C12" s="11" t="s">
        <v>44</v>
      </c>
      <c r="D12" s="17">
        <v>1</v>
      </c>
      <c r="F12" s="11" t="str">
        <v>Root canal Sealer Bio ceramics RCS Safe Endo</v>
      </c>
      <c r="G12" s="11" t="str">
        <v>Cotton roll ORO (1000PC)</v>
      </c>
    </row>
    <row r="13" spans="2:7">
      <c r="B13" s="16">
        <v>7</v>
      </c>
      <c r="C13" s="11" t="s">
        <v>46</v>
      </c>
      <c r="D13" s="17">
        <v>1</v>
      </c>
      <c r="F13" s="11" t="str">
        <v>Eugenol DPI 110gm</v>
      </c>
      <c r="G13" s="11" t="str">
        <v>SELF SEALING STERI POUCH</v>
      </c>
    </row>
    <row r="14" spans="2:7">
      <c r="B14" s="16">
        <v>8</v>
      </c>
      <c r="C14" s="11" t="s">
        <v>48</v>
      </c>
      <c r="D14" s="17">
        <v>1</v>
      </c>
      <c r="F14" s="11" t="str">
        <v>Fixer 500 ml Samit</v>
      </c>
    </row>
    <row r="15" spans="2:7">
      <c r="B15" s="16">
        <v>9</v>
      </c>
      <c r="C15" s="11" t="s">
        <v>49</v>
      </c>
      <c r="D15" s="17">
        <v>1</v>
      </c>
      <c r="F15" s="11" t="str">
        <v>Denture Adhesive Powder ICPA</v>
      </c>
    </row>
    <row r="16" spans="2:7">
      <c r="B16" s="16">
        <v>10</v>
      </c>
      <c r="C16" s="11" t="s">
        <v>35</v>
      </c>
      <c r="D16" s="17">
        <v>0</v>
      </c>
      <c r="F16" s="11" t="str">
        <v>IMPRESSION COMPOUND CAKES Y DENT</v>
      </c>
    </row>
    <row r="17" spans="2:6">
      <c r="B17" s="16">
        <v>11</v>
      </c>
      <c r="C17" s="11" t="s">
        <v>37</v>
      </c>
      <c r="D17" s="17">
        <v>0</v>
      </c>
      <c r="F17" s="11" t="str">
        <v>Impression Material Alginate Dust Free 450 GM ORIKAM</v>
      </c>
    </row>
    <row r="18" spans="2:6">
      <c r="B18" s="16">
        <v>12</v>
      </c>
      <c r="C18" s="11" t="s">
        <v>39</v>
      </c>
      <c r="D18" s="17">
        <v>0</v>
      </c>
      <c r="F18" s="11" t="str">
        <v>Impression Material ZnoE DPI</v>
      </c>
    </row>
    <row r="19" spans="2:6">
      <c r="B19" s="16">
        <v>13</v>
      </c>
      <c r="C19" s="11" t="s">
        <v>50</v>
      </c>
      <c r="D19" s="17">
        <v>1</v>
      </c>
      <c r="F19" s="11" t="str">
        <v>Modelling Wax MAARC</v>
      </c>
    </row>
    <row r="20" spans="2:6">
      <c r="B20" s="16">
        <v>14</v>
      </c>
      <c r="C20" s="11" t="s">
        <v>51</v>
      </c>
      <c r="D20" s="17">
        <v>1</v>
      </c>
      <c r="F20" s="11" t="str">
        <v>Occlusal Film (Pack of 25) CARESTREAM</v>
      </c>
    </row>
    <row r="21" spans="2:6">
      <c r="B21" s="16">
        <v>15</v>
      </c>
      <c r="C21" s="11" t="s">
        <v>52</v>
      </c>
      <c r="D21" s="17">
        <v>1</v>
      </c>
      <c r="F21" s="11" t="str">
        <v>Plugger 15-40 assorted MANI</v>
      </c>
    </row>
    <row r="22" spans="2:6">
      <c r="B22" s="16">
        <v>16</v>
      </c>
      <c r="C22" s="11" t="s">
        <v>53</v>
      </c>
      <c r="D22" s="17">
        <v>1</v>
      </c>
      <c r="F22" s="11" t="str">
        <v>Polishing Paste 100 GM DPI</v>
      </c>
    </row>
    <row r="23" spans="2:6">
      <c r="B23" s="16">
        <v>17</v>
      </c>
      <c r="C23" s="11" t="s">
        <v>54</v>
      </c>
      <c r="D23" s="17">
        <v>1</v>
      </c>
      <c r="F23" s="11" t="str">
        <v>POLY CARBOXYLATE PREVEST</v>
      </c>
    </row>
    <row r="24" spans="2:6">
      <c r="B24" s="16">
        <v>18</v>
      </c>
      <c r="C24" s="11" t="s">
        <v>55</v>
      </c>
      <c r="D24" s="17">
        <v>1</v>
      </c>
      <c r="F24" s="11" t="str">
        <v>Temporary Filling ORA FILL G</v>
      </c>
    </row>
    <row r="25" spans="2:6">
      <c r="B25" s="16">
        <v>19</v>
      </c>
      <c r="C25" s="11" t="s">
        <v>56</v>
      </c>
      <c r="D25" s="17">
        <v>1</v>
      </c>
      <c r="F25" s="11" t="str">
        <v>Articulating Paper MAARC (12 sheets each)</v>
      </c>
    </row>
    <row r="26" spans="2:6">
      <c r="B26" s="16">
        <v>20</v>
      </c>
      <c r="C26" s="11" t="s">
        <v>57</v>
      </c>
      <c r="D26" s="17">
        <v>1</v>
      </c>
      <c r="F26" s="11" t="str">
        <v>Composite Syringe 3M Z250</v>
      </c>
    </row>
    <row r="27" spans="2:6">
      <c r="B27" s="16">
        <v>21</v>
      </c>
      <c r="C27" s="11" t="s">
        <v>58</v>
      </c>
      <c r="D27" s="17">
        <v>1</v>
      </c>
      <c r="F27" s="11" t="str">
        <v>Crown and Bridge prep. kit Shofu</v>
      </c>
    </row>
    <row r="28" spans="2:6">
      <c r="B28" s="16">
        <v>22</v>
      </c>
      <c r="C28" s="11" t="s">
        <v>59</v>
      </c>
      <c r="D28" s="17">
        <v>1</v>
      </c>
      <c r="F28" s="11" t="str">
        <v>DENTAL IOPA X RAY FILM PEDO Carestream (pack of 100)</v>
      </c>
    </row>
    <row r="29" spans="2:6">
      <c r="B29" s="16">
        <v>23</v>
      </c>
      <c r="C29" s="11" t="s">
        <v>60</v>
      </c>
      <c r="D29" s="17">
        <v>1</v>
      </c>
      <c r="F29" s="11" t="str">
        <v>DENTAL IOPA X RAY FILM ADULT Carestream (pack of 150)</v>
      </c>
    </row>
    <row r="30" spans="2:6">
      <c r="B30" s="16">
        <v>24</v>
      </c>
      <c r="C30" s="11" t="s">
        <v>61</v>
      </c>
      <c r="D30" s="17">
        <v>1</v>
      </c>
      <c r="F30" s="11" t="str">
        <v>Diamond Bur Assorted MANI P/5</v>
      </c>
    </row>
    <row r="31" spans="2:6">
      <c r="B31" s="16">
        <v>25</v>
      </c>
      <c r="C31" s="11" t="s">
        <v>62</v>
      </c>
      <c r="D31" s="17">
        <v>1</v>
      </c>
      <c r="F31" s="11" t="str">
        <v>Calcium Hydroxide Root Canal medicament 2GM AVUECAl</v>
      </c>
    </row>
    <row r="32" spans="2:6">
      <c r="B32" s="16">
        <v>26</v>
      </c>
      <c r="C32" s="11" t="s">
        <v>63</v>
      </c>
      <c r="D32" s="17">
        <v>1</v>
      </c>
      <c r="F32" s="11" t="str">
        <v>DIE STONE KALABHAI (3KG/PACK) 2PC</v>
      </c>
    </row>
    <row r="33" spans="2:6">
      <c r="B33" s="16">
        <v>27</v>
      </c>
      <c r="C33" s="11" t="s">
        <v>43</v>
      </c>
      <c r="D33" s="17">
        <v>0</v>
      </c>
      <c r="F33" s="11" t="str">
        <v>FLEXI FILES 15-40 K FILE MANI</v>
      </c>
    </row>
    <row r="34" spans="2:6">
      <c r="B34" s="16">
        <v>28</v>
      </c>
      <c r="C34" s="11" t="s">
        <v>64</v>
      </c>
      <c r="D34" s="17">
        <v>1</v>
      </c>
      <c r="F34" s="11" t="str">
        <v>GP POINT 25-45 SET META REFILL</v>
      </c>
    </row>
    <row r="35" spans="2:6">
      <c r="B35" s="16">
        <v>29</v>
      </c>
      <c r="C35" s="11" t="s">
        <v>65</v>
      </c>
      <c r="D35" s="17">
        <v>1</v>
      </c>
      <c r="F35" s="11" t="str">
        <v>GP POINT ASSORTED 15-80 SET META</v>
      </c>
    </row>
    <row r="36" spans="2:6">
      <c r="B36" s="16">
        <v>30</v>
      </c>
      <c r="C36" s="11" t="s">
        <v>66</v>
      </c>
      <c r="D36" s="17">
        <v>1</v>
      </c>
      <c r="F36" s="11" t="str">
        <v>PARACORE COLTENE KIT</v>
      </c>
    </row>
    <row r="37" spans="2:6">
      <c r="B37" s="16">
        <v>31</v>
      </c>
      <c r="C37" s="11" t="s">
        <v>41</v>
      </c>
      <c r="D37" s="17">
        <v>0</v>
      </c>
      <c r="F37" s="11" t="str">
        <v>FIBER POST KIT</v>
      </c>
    </row>
    <row r="38" spans="2:6">
      <c r="B38" s="16">
        <v>32</v>
      </c>
      <c r="C38" s="11" t="s">
        <v>67</v>
      </c>
      <c r="D38" s="17">
        <v>1</v>
      </c>
      <c r="F38" s="11" t="str">
        <v>H FILES 10, 15-40 (21MM) MANI (10 SET EACH)</v>
      </c>
    </row>
    <row r="39" spans="2:6">
      <c r="B39" s="16">
        <v>33</v>
      </c>
      <c r="C39" s="11" t="s">
        <v>68</v>
      </c>
      <c r="D39" s="17">
        <v>1</v>
      </c>
      <c r="F39" s="11" t="str">
        <v>H FILES ASSORTED SET 15-40 , 45-80 (21MM ) 10 SET EACH MANI</v>
      </c>
    </row>
    <row r="40" spans="2:6">
      <c r="B40" s="16">
        <v>34</v>
      </c>
      <c r="C40" s="11" t="s">
        <v>69</v>
      </c>
      <c r="D40" s="17">
        <v>1</v>
      </c>
      <c r="F40" s="11" t="str">
        <v>K FILES SET 6, 10, 15-45 (4SET EACH) MANI</v>
      </c>
    </row>
    <row r="41" spans="2:6">
      <c r="B41" s="16">
        <v>35</v>
      </c>
      <c r="C41" s="11" t="s">
        <v>70</v>
      </c>
      <c r="D41" s="17">
        <v>1</v>
      </c>
      <c r="F41" s="11" t="str">
        <v>K FILES ASSORTED 15-40 , 45-80 (20 SETS EACH) MANI</v>
      </c>
    </row>
    <row r="42" spans="2:6">
      <c r="B42" s="16">
        <v>36</v>
      </c>
      <c r="C42" s="11" t="s">
        <v>71</v>
      </c>
      <c r="D42" s="17">
        <v>1</v>
      </c>
      <c r="F42" s="11" t="str">
        <v>PROTAPER HAND ASSORTED 21MM DENTSPLY</v>
      </c>
    </row>
    <row r="43" spans="2:6">
      <c r="B43" s="16">
        <v>37</v>
      </c>
      <c r="C43" s="11" t="s">
        <v>72</v>
      </c>
      <c r="D43" s="17">
        <v>1</v>
      </c>
      <c r="F43" s="11" t="str">
        <v>PROTAPER HAND ASSORTED 25MM DENTSPLY</v>
      </c>
    </row>
    <row r="44" spans="2:6">
      <c r="B44" s="16">
        <v>38</v>
      </c>
      <c r="C44" s="11" t="s">
        <v>73</v>
      </c>
      <c r="D44" s="17">
        <v>1</v>
      </c>
      <c r="F44" s="11" t="str">
        <v>GREEN STICK DPI (10 PACK)</v>
      </c>
    </row>
    <row r="45" spans="2:6">
      <c r="B45" s="16">
        <v>39</v>
      </c>
      <c r="C45" s="11" t="s">
        <v>74</v>
      </c>
      <c r="D45" s="17">
        <v>1</v>
      </c>
      <c r="F45" s="11" t="str">
        <v>ZINC PHOSPHATE CEMENT PREVEST</v>
      </c>
    </row>
    <row r="46" spans="2:6">
      <c r="B46" s="16">
        <v>40</v>
      </c>
      <c r="C46" s="11" t="s">
        <v>75</v>
      </c>
      <c r="D46" s="17">
        <v>1</v>
      </c>
      <c r="F46" s="11" t="str">
        <v>PRO TAPER GP ASSORTED PACK META</v>
      </c>
    </row>
    <row r="47" spans="2:6">
      <c r="B47" s="16">
        <v>41</v>
      </c>
      <c r="C47" s="11" t="s">
        <v>76</v>
      </c>
      <c r="D47" s="17">
        <v>1</v>
      </c>
      <c r="F47" s="11" t="str">
        <v>PRO TAPER GP(F2, F2 ,F3) META</v>
      </c>
    </row>
    <row r="48" spans="2:6">
      <c r="B48" s="16">
        <v>42</v>
      </c>
      <c r="C48" s="11" t="s">
        <v>77</v>
      </c>
      <c r="D48" s="17">
        <v>1</v>
      </c>
      <c r="F48" s="11" t="str">
        <v>CALCIUM HYDROXIDE POWDER</v>
      </c>
    </row>
    <row r="49" spans="2:6">
      <c r="B49" s="16">
        <v>43</v>
      </c>
      <c r="C49" s="11" t="s">
        <v>78</v>
      </c>
      <c r="D49" s="17">
        <v>1</v>
      </c>
      <c r="F49" s="11" t="str">
        <v>HYDROGEN PEROXIDE 400ML</v>
      </c>
    </row>
    <row r="50" spans="2:6">
      <c r="B50" s="16">
        <v>44</v>
      </c>
      <c r="C50" s="11" t="s">
        <v>79</v>
      </c>
      <c r="D50" s="17">
        <v>1</v>
      </c>
      <c r="F50" s="11" t="str">
        <v>EXAMINATION GLOVES PRE PRE POWDERED</v>
      </c>
    </row>
    <row r="51" spans="2:6">
      <c r="B51" s="16">
        <v>45</v>
      </c>
      <c r="C51" s="11" t="s">
        <v>45</v>
      </c>
      <c r="D51" s="17">
        <v>0</v>
      </c>
      <c r="F51" s="11" t="str">
        <v>EXAMINATION GLOVES POWDER FREE</v>
      </c>
    </row>
    <row r="52" spans="2:6">
      <c r="B52" s="16">
        <v>46</v>
      </c>
      <c r="C52" s="11" t="s">
        <v>80</v>
      </c>
      <c r="D52" s="17">
        <v>1</v>
      </c>
    </row>
    <row r="53" spans="2:6">
      <c r="B53" s="16">
        <v>47</v>
      </c>
      <c r="C53" s="11" t="s">
        <v>81</v>
      </c>
      <c r="D53" s="17">
        <v>1</v>
      </c>
    </row>
    <row r="54" spans="2:6">
      <c r="B54" s="16">
        <v>48</v>
      </c>
      <c r="C54" s="11" t="s">
        <v>82</v>
      </c>
      <c r="D54" s="17">
        <v>1</v>
      </c>
    </row>
    <row r="55" spans="2:6">
      <c r="B55" s="16">
        <v>49</v>
      </c>
      <c r="C55" s="11" t="s">
        <v>47</v>
      </c>
      <c r="D55" s="17">
        <v>0</v>
      </c>
    </row>
    <row r="56" spans="2:6">
      <c r="B56" s="16">
        <v>50</v>
      </c>
      <c r="C56" s="11" t="s">
        <v>83</v>
      </c>
      <c r="D56" s="17">
        <v>1</v>
      </c>
    </row>
    <row r="57" spans="2:6">
      <c r="B57" s="16">
        <v>51</v>
      </c>
      <c r="C57" s="11" t="s">
        <v>84</v>
      </c>
      <c r="D57" s="17">
        <v>1</v>
      </c>
    </row>
    <row r="58" spans="2:6">
      <c r="B58" s="16">
        <v>52</v>
      </c>
      <c r="C58" s="11" t="s">
        <v>85</v>
      </c>
      <c r="D58" s="17">
        <v>1</v>
      </c>
    </row>
    <row r="59" spans="2:6">
      <c r="B59" s="16"/>
    </row>
    <row r="60" spans="2:6">
      <c r="B60" s="16"/>
    </row>
    <row r="61" spans="2:6">
      <c r="B61" s="16"/>
    </row>
    <row r="62" spans="2:6">
      <c r="B62" s="16"/>
    </row>
    <row r="63" spans="2:6">
      <c r="B63" s="16"/>
    </row>
    <row r="64" spans="2:6">
      <c r="B64" s="16"/>
    </row>
    <row r="65" spans="2:2">
      <c r="B65" s="16"/>
    </row>
    <row r="66" spans="2:2">
      <c r="B66" s="16"/>
    </row>
    <row r="67" spans="2:2">
      <c r="B67" s="16"/>
    </row>
    <row r="68" spans="2:2">
      <c r="B68" s="16"/>
    </row>
    <row r="69" spans="2:2">
      <c r="B69" s="16"/>
    </row>
    <row r="70" spans="2:2">
      <c r="B70" s="16"/>
    </row>
    <row r="71" spans="2:2">
      <c r="B71" s="16"/>
    </row>
    <row r="72" spans="2:2">
      <c r="B72" s="16"/>
    </row>
    <row r="73" spans="2:2">
      <c r="B73" s="16"/>
    </row>
    <row r="74" spans="2:2">
      <c r="B74" s="16"/>
    </row>
    <row r="75" spans="2:2">
      <c r="B75" s="16"/>
    </row>
    <row r="76" spans="2:2">
      <c r="B76" s="16"/>
    </row>
    <row r="77" spans="2:2">
      <c r="B77" s="16"/>
    </row>
    <row r="78" spans="2:2">
      <c r="B78" s="16"/>
    </row>
    <row r="79" spans="2:2">
      <c r="B79" s="16"/>
    </row>
    <row r="80" spans="2:2">
      <c r="B80" s="16"/>
    </row>
    <row r="81" spans="2:2">
      <c r="B81" s="16"/>
    </row>
    <row r="82" spans="2:2">
      <c r="B82" s="16"/>
    </row>
    <row r="83" spans="2:2">
      <c r="B83" s="16"/>
    </row>
    <row r="84" spans="2:2">
      <c r="B84" s="16"/>
    </row>
    <row r="85" spans="2:2">
      <c r="B85" s="16"/>
    </row>
  </sheetData>
  <mergeCells count="3">
    <mergeCell ref="B5:B6"/>
    <mergeCell ref="C5:D5"/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Sivani</vt:lpstr>
      <vt:lpstr>Overal Work Update</vt:lpstr>
      <vt:lpstr>Sales Report</vt:lpstr>
      <vt:lpstr>Stock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2025-10-01T11:06:37Z</dcterms:created>
  <dcterms:modified xsi:type="dcterms:W3CDTF">2025-10-03T13:18:15Z</dcterms:modified>
</cp:coreProperties>
</file>