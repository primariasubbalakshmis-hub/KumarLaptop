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\Supply Chain Management\"/>
    </mc:Choice>
  </mc:AlternateContent>
  <bookViews>
    <workbookView xWindow="0" yWindow="0" windowWidth="20490" windowHeight="7650" tabRatio="629" firstSheet="2" activeTab="7"/>
  </bookViews>
  <sheets>
    <sheet name="Product list Delivered frm AMTZ" sheetId="1" r:id="rId1"/>
    <sheet name="Sales Update" sheetId="2" r:id="rId2"/>
    <sheet name="Samples Given Details" sheetId="3" r:id="rId3"/>
    <sheet name="Sheet1" sheetId="12" r:id="rId4"/>
    <sheet name="Discount nd profit" sheetId="11" r:id="rId5"/>
    <sheet name="P &amp; L" sheetId="14" r:id="rId6"/>
    <sheet name="Sheet2" sheetId="13" r:id="rId7"/>
    <sheet name="Stock Movement Summary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" l="1"/>
  <c r="H8" i="5"/>
  <c r="H9" i="5"/>
  <c r="G5" i="5"/>
  <c r="H5" i="5" s="1"/>
  <c r="H6" i="5"/>
  <c r="H7" i="5"/>
  <c r="G8" i="5"/>
  <c r="G9" i="5"/>
  <c r="G4" i="5"/>
  <c r="J12" i="14" l="1"/>
  <c r="J20" i="14"/>
  <c r="J27" i="14"/>
  <c r="J35" i="14"/>
  <c r="J4" i="14"/>
  <c r="J32" i="14"/>
  <c r="I32" i="14"/>
  <c r="I31" i="14"/>
  <c r="J31" i="14" s="1"/>
  <c r="H25" i="14"/>
  <c r="I30" i="14"/>
  <c r="J30" i="14" s="1"/>
  <c r="J5" i="14"/>
  <c r="J6" i="14"/>
  <c r="J7" i="14"/>
  <c r="J8" i="14"/>
  <c r="J9" i="14"/>
  <c r="J10" i="14"/>
  <c r="J11" i="14"/>
  <c r="I5" i="14"/>
  <c r="I6" i="14"/>
  <c r="I7" i="14"/>
  <c r="I8" i="14"/>
  <c r="I9" i="14"/>
  <c r="I10" i="14"/>
  <c r="I11" i="14"/>
  <c r="I4" i="14"/>
  <c r="J24" i="14"/>
  <c r="I24" i="14"/>
  <c r="I25" i="14"/>
  <c r="J25" i="14" s="1"/>
  <c r="I22" i="14"/>
  <c r="J22" i="14" s="1"/>
  <c r="I16" i="14"/>
  <c r="H24" i="14"/>
  <c r="I23" i="14"/>
  <c r="J23" i="14" s="1"/>
  <c r="J16" i="14" l="1"/>
  <c r="J17" i="14"/>
  <c r="J14" i="14"/>
  <c r="I18" i="14"/>
  <c r="J18" i="14" s="1"/>
  <c r="I15" i="14"/>
  <c r="J15" i="14" s="1"/>
  <c r="P6" i="11" l="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5" i="11"/>
  <c r="M5" i="11"/>
  <c r="I5" i="11"/>
  <c r="I17" i="11"/>
  <c r="I8" i="11"/>
  <c r="I6" i="11"/>
  <c r="I7" i="11"/>
  <c r="I9" i="11"/>
  <c r="I10" i="11"/>
  <c r="I11" i="11"/>
  <c r="I12" i="11"/>
  <c r="I13" i="11"/>
  <c r="I14" i="11"/>
  <c r="I15" i="11"/>
  <c r="I16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K5" i="11" l="1"/>
  <c r="K7" i="11"/>
  <c r="N6" i="11"/>
  <c r="N10" i="11"/>
  <c r="N11" i="11"/>
  <c r="N12" i="11"/>
  <c r="N20" i="11"/>
  <c r="N22" i="11"/>
  <c r="N23" i="11"/>
  <c r="N24" i="11"/>
  <c r="N25" i="11"/>
  <c r="N26" i="11"/>
  <c r="N28" i="11"/>
  <c r="N29" i="11"/>
  <c r="N30" i="11"/>
  <c r="N31" i="11"/>
  <c r="N32" i="11"/>
  <c r="N34" i="11"/>
  <c r="N35" i="11"/>
  <c r="N36" i="11"/>
  <c r="N37" i="11"/>
  <c r="N38" i="11"/>
  <c r="N40" i="11"/>
  <c r="N41" i="11"/>
  <c r="N42" i="11"/>
  <c r="N43" i="11"/>
  <c r="N44" i="11"/>
  <c r="N46" i="11"/>
  <c r="N47" i="11"/>
  <c r="N48" i="11"/>
  <c r="N49" i="11"/>
  <c r="N50" i="11"/>
  <c r="N52" i="11"/>
  <c r="N53" i="11"/>
  <c r="N54" i="11"/>
  <c r="N55" i="11"/>
  <c r="N56" i="11"/>
  <c r="N58" i="11"/>
  <c r="N59" i="11"/>
  <c r="N60" i="11"/>
  <c r="N61" i="11"/>
  <c r="N62" i="11"/>
  <c r="N64" i="11"/>
  <c r="N65" i="11"/>
  <c r="N66" i="11"/>
  <c r="N67" i="11"/>
  <c r="N68" i="11"/>
  <c r="N70" i="11"/>
  <c r="N71" i="11"/>
  <c r="N72" i="11"/>
  <c r="N73" i="11"/>
  <c r="N74" i="11"/>
  <c r="N5" i="11"/>
  <c r="M6" i="11"/>
  <c r="M7" i="11"/>
  <c r="N7" i="11" s="1"/>
  <c r="M8" i="11"/>
  <c r="N8" i="11" s="1"/>
  <c r="M9" i="11"/>
  <c r="N9" i="11" s="1"/>
  <c r="M10" i="11"/>
  <c r="M11" i="11"/>
  <c r="M12" i="1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M21" i="11"/>
  <c r="N21" i="11" s="1"/>
  <c r="M22" i="11"/>
  <c r="M23" i="11"/>
  <c r="M24" i="11"/>
  <c r="M25" i="11"/>
  <c r="M26" i="11"/>
  <c r="M27" i="11"/>
  <c r="N27" i="11" s="1"/>
  <c r="M28" i="11"/>
  <c r="M29" i="11"/>
  <c r="M30" i="11"/>
  <c r="M31" i="11"/>
  <c r="M32" i="11"/>
  <c r="M33" i="11"/>
  <c r="N33" i="11" s="1"/>
  <c r="M34" i="11"/>
  <c r="M35" i="11"/>
  <c r="M36" i="11"/>
  <c r="M37" i="11"/>
  <c r="M38" i="11"/>
  <c r="M39" i="11"/>
  <c r="N39" i="11" s="1"/>
  <c r="M40" i="11"/>
  <c r="M41" i="11"/>
  <c r="M42" i="11"/>
  <c r="M43" i="11"/>
  <c r="M44" i="11"/>
  <c r="M45" i="11"/>
  <c r="N45" i="11" s="1"/>
  <c r="M46" i="11"/>
  <c r="M47" i="11"/>
  <c r="M48" i="11"/>
  <c r="M49" i="11"/>
  <c r="M50" i="11"/>
  <c r="M51" i="11"/>
  <c r="N51" i="11" s="1"/>
  <c r="M52" i="11"/>
  <c r="M53" i="11"/>
  <c r="M54" i="11"/>
  <c r="M55" i="11"/>
  <c r="M56" i="11"/>
  <c r="M57" i="11"/>
  <c r="N57" i="11" s="1"/>
  <c r="M58" i="11"/>
  <c r="M59" i="11"/>
  <c r="M60" i="11"/>
  <c r="M61" i="11"/>
  <c r="M62" i="11"/>
  <c r="M63" i="11"/>
  <c r="N63" i="11" s="1"/>
  <c r="M64" i="11"/>
  <c r="M65" i="11"/>
  <c r="M66" i="11"/>
  <c r="M67" i="11"/>
  <c r="M68" i="11"/>
  <c r="M69" i="11"/>
  <c r="N69" i="11" s="1"/>
  <c r="M70" i="11"/>
  <c r="M71" i="11"/>
  <c r="M72" i="11"/>
  <c r="M73" i="11"/>
  <c r="M74" i="11"/>
  <c r="M75" i="11"/>
  <c r="N75" i="11" s="1"/>
  <c r="L8" i="11"/>
  <c r="L10" i="11"/>
  <c r="L11" i="11"/>
  <c r="L12" i="11"/>
  <c r="L17" i="11"/>
  <c r="L20" i="11"/>
  <c r="L21" i="11"/>
  <c r="L22" i="11"/>
  <c r="L23" i="11"/>
  <c r="L24" i="11"/>
  <c r="L26" i="11"/>
  <c r="L27" i="11"/>
  <c r="L28" i="11"/>
  <c r="L29" i="11"/>
  <c r="L30" i="11"/>
  <c r="L32" i="11"/>
  <c r="L33" i="11"/>
  <c r="L34" i="11"/>
  <c r="L35" i="11"/>
  <c r="L36" i="11"/>
  <c r="L38" i="11"/>
  <c r="L39" i="11"/>
  <c r="L40" i="11"/>
  <c r="L41" i="11"/>
  <c r="L42" i="11"/>
  <c r="L44" i="11"/>
  <c r="L45" i="11"/>
  <c r="L46" i="11"/>
  <c r="L47" i="11"/>
  <c r="L48" i="11"/>
  <c r="L50" i="11"/>
  <c r="L51" i="11"/>
  <c r="L52" i="11"/>
  <c r="L53" i="11"/>
  <c r="L54" i="11"/>
  <c r="L56" i="11"/>
  <c r="L57" i="11"/>
  <c r="L58" i="11"/>
  <c r="L59" i="11"/>
  <c r="L60" i="11"/>
  <c r="L62" i="11"/>
  <c r="L63" i="11"/>
  <c r="L64" i="11"/>
  <c r="L65" i="11"/>
  <c r="L66" i="11"/>
  <c r="L68" i="11"/>
  <c r="L69" i="11"/>
  <c r="L70" i="11"/>
  <c r="L71" i="11"/>
  <c r="L72" i="11"/>
  <c r="L74" i="11"/>
  <c r="L75" i="11"/>
  <c r="L5" i="11"/>
  <c r="K6" i="11"/>
  <c r="L6" i="11" s="1"/>
  <c r="L7" i="11"/>
  <c r="K8" i="11"/>
  <c r="K9" i="11"/>
  <c r="L9" i="11" s="1"/>
  <c r="K10" i="11"/>
  <c r="K11" i="11"/>
  <c r="K12" i="11"/>
  <c r="K13" i="11"/>
  <c r="L13" i="11" s="1"/>
  <c r="K14" i="11"/>
  <c r="L14" i="11" s="1"/>
  <c r="K15" i="11"/>
  <c r="L15" i="11" s="1"/>
  <c r="K16" i="11"/>
  <c r="L16" i="11" s="1"/>
  <c r="K17" i="11"/>
  <c r="K18" i="11"/>
  <c r="L18" i="11" s="1"/>
  <c r="K19" i="11"/>
  <c r="L19" i="11" s="1"/>
  <c r="K20" i="11"/>
  <c r="K21" i="11"/>
  <c r="K22" i="11"/>
  <c r="K23" i="11"/>
  <c r="K24" i="11"/>
  <c r="K25" i="11"/>
  <c r="L25" i="11" s="1"/>
  <c r="K26" i="11"/>
  <c r="K27" i="11"/>
  <c r="K28" i="11"/>
  <c r="K29" i="11"/>
  <c r="K30" i="11"/>
  <c r="K31" i="11"/>
  <c r="L31" i="11" s="1"/>
  <c r="K32" i="11"/>
  <c r="K33" i="11"/>
  <c r="K34" i="11"/>
  <c r="K35" i="11"/>
  <c r="K36" i="11"/>
  <c r="K37" i="11"/>
  <c r="L37" i="11" s="1"/>
  <c r="K38" i="11"/>
  <c r="K39" i="11"/>
  <c r="K40" i="11"/>
  <c r="K41" i="11"/>
  <c r="K42" i="11"/>
  <c r="K43" i="11"/>
  <c r="L43" i="11" s="1"/>
  <c r="K44" i="11"/>
  <c r="K45" i="11"/>
  <c r="K46" i="11"/>
  <c r="K47" i="11"/>
  <c r="K48" i="11"/>
  <c r="K49" i="11"/>
  <c r="L49" i="11" s="1"/>
  <c r="K50" i="11"/>
  <c r="K51" i="11"/>
  <c r="K52" i="11"/>
  <c r="K53" i="11"/>
  <c r="K54" i="11"/>
  <c r="K55" i="11"/>
  <c r="L55" i="11" s="1"/>
  <c r="K56" i="11"/>
  <c r="K57" i="11"/>
  <c r="K58" i="11"/>
  <c r="K59" i="11"/>
  <c r="K60" i="11"/>
  <c r="K61" i="11"/>
  <c r="L61" i="11" s="1"/>
  <c r="K62" i="11"/>
  <c r="K63" i="11"/>
  <c r="K64" i="11"/>
  <c r="K65" i="11"/>
  <c r="K66" i="11"/>
  <c r="K67" i="11"/>
  <c r="L67" i="11" s="1"/>
  <c r="K68" i="11"/>
  <c r="K69" i="11"/>
  <c r="K70" i="11"/>
  <c r="K71" i="11"/>
  <c r="K72" i="11"/>
  <c r="K73" i="11"/>
  <c r="L73" i="11" s="1"/>
  <c r="K74" i="11"/>
  <c r="K75" i="11"/>
  <c r="T9" i="12" l="1"/>
  <c r="M9" i="12"/>
  <c r="G6" i="3" l="1"/>
  <c r="J6" i="3"/>
  <c r="H4" i="5" l="1"/>
</calcChain>
</file>

<file path=xl/sharedStrings.xml><?xml version="1.0" encoding="utf-8"?>
<sst xmlns="http://schemas.openxmlformats.org/spreadsheetml/2006/main" count="370" uniqueCount="222">
  <si>
    <t xml:space="preserve">S.No </t>
  </si>
  <si>
    <t>Name of The Product</t>
  </si>
  <si>
    <t>Qty</t>
  </si>
  <si>
    <t>Sample ID or Code</t>
  </si>
  <si>
    <t>S.No</t>
  </si>
  <si>
    <t>Name of the Product</t>
  </si>
  <si>
    <t>Sample Given Date</t>
  </si>
  <si>
    <t xml:space="preserve">Sale Date </t>
  </si>
  <si>
    <t xml:space="preserve">                                                 Supply Chain Samples Given List- August 2025</t>
  </si>
  <si>
    <t>Hospital or Lab Name</t>
  </si>
  <si>
    <t>Name of The Person (Sample Given for sale )</t>
  </si>
  <si>
    <t>Balance Stock</t>
  </si>
  <si>
    <t>Amt</t>
  </si>
  <si>
    <t>Cold Cure Liquid and Powder 400g Pyrex</t>
  </si>
  <si>
    <t>Developer 500ml Samit</t>
  </si>
  <si>
    <t>Radiopaque Calcium Hydroxide base and catalyst Dentsply</t>
  </si>
  <si>
    <t>Root Canal Sealer safe endo</t>
  </si>
  <si>
    <t>Eugenol DPI 110gm</t>
  </si>
  <si>
    <t>Denture Adhesive Powder ICPA</t>
  </si>
  <si>
    <t>GIC LUTING KETAC CEM</t>
  </si>
  <si>
    <t>Impression Material ZnoE DPI</t>
  </si>
  <si>
    <t>Modelling Wax MAARC</t>
  </si>
  <si>
    <t>Plugger 15-40 assorted MANI</t>
  </si>
  <si>
    <t>Polishing Paste 100 GM DPI</t>
  </si>
  <si>
    <t>POLY CARBOXYLATE PREVEST</t>
  </si>
  <si>
    <t>Temporary Filling ORA FILL G</t>
  </si>
  <si>
    <t>Composite Syringe 3M Z250</t>
  </si>
  <si>
    <t>Crown and Bridge prep. kit Shofu</t>
  </si>
  <si>
    <t>KALABHAI DENTAL STONE 3KG PACK</t>
  </si>
  <si>
    <t>Diamond Bur Assorted MANI P/5</t>
  </si>
  <si>
    <t>Dental Suction tips (100 tips)</t>
  </si>
  <si>
    <t>PARACORE COLTENE KIT</t>
  </si>
  <si>
    <t>CALCIUM HYDROXIDE POWDER</t>
  </si>
  <si>
    <t>SELF SEALING STERI POUCH</t>
  </si>
  <si>
    <t>HYDROGEN PEROXIDE 400ML</t>
  </si>
  <si>
    <t xml:space="preserve">Month </t>
  </si>
  <si>
    <t xml:space="preserve">Opening Stock </t>
  </si>
  <si>
    <t xml:space="preserve">Closing Stock </t>
  </si>
  <si>
    <t xml:space="preserve"> Letter submission for samples   (Yes/No)                               </t>
  </si>
  <si>
    <t>Expect to Return Date</t>
  </si>
  <si>
    <t>Price</t>
  </si>
  <si>
    <t>Stock Sold</t>
  </si>
  <si>
    <t>Total Amount with GST</t>
  </si>
  <si>
    <t>QTY</t>
  </si>
  <si>
    <t>Box Price (MRP) Rs</t>
  </si>
  <si>
    <t>Sold Price</t>
  </si>
  <si>
    <t xml:space="preserve">Profit </t>
  </si>
  <si>
    <t>Profit %</t>
  </si>
  <si>
    <t xml:space="preserve">Discount </t>
  </si>
  <si>
    <t>Discount %</t>
  </si>
  <si>
    <t>Date</t>
  </si>
  <si>
    <t>Bhavani Prasad &amp; Srinivasa Rao PRO</t>
  </si>
  <si>
    <t>Basavaiah</t>
  </si>
  <si>
    <t>Yes</t>
  </si>
  <si>
    <t>No</t>
  </si>
  <si>
    <t>Primaria Price</t>
  </si>
  <si>
    <t>GST %</t>
  </si>
  <si>
    <t xml:space="preserve">Dental Set GP Points, H-files ,K-files,Protaper,flexi files,plugger ,Dia Bur </t>
  </si>
  <si>
    <t xml:space="preserve">Dental Stone </t>
  </si>
  <si>
    <t>LA Bottles</t>
  </si>
  <si>
    <t xml:space="preserve">Samba siva rao </t>
  </si>
  <si>
    <t>Signed</t>
  </si>
  <si>
    <t>Pending</t>
  </si>
  <si>
    <t>-</t>
  </si>
  <si>
    <t>Item &amp; Description</t>
  </si>
  <si>
    <t>HSN/SAC</t>
  </si>
  <si>
    <t>Mrp</t>
  </si>
  <si>
    <t>Final with GST</t>
  </si>
  <si>
    <t>Suggested  with GST</t>
  </si>
  <si>
    <t>Sodium Hypochlorite 5.2% Safeendo 500ml</t>
  </si>
  <si>
    <t>Root canal Sealer Bio ceramics RCS Safe Endo</t>
  </si>
  <si>
    <t>Fixer 500 ml Samit</t>
  </si>
  <si>
    <t>GIC FILLING SHOFU</t>
  </si>
  <si>
    <t>GIC FILLING KETAC MOLAR 3M</t>
  </si>
  <si>
    <t>IMPRESSION COMPOUND CAKES Y DENT</t>
  </si>
  <si>
    <t>Impression Material Alginate Dust Free 450 GM ORIKAM</t>
  </si>
  <si>
    <t>Occlusal Film (Pack of 25) CARESTREAM</t>
  </si>
  <si>
    <t>Articulating Paper MAARC (12 sheets each)</t>
  </si>
  <si>
    <t>DENTAL IOPA X RAY FILM PEDO Carestream (pack of 100)</t>
  </si>
  <si>
    <t>DENTAL IOPA X RAY FILM ADULT Carestream (pack of 150)</t>
  </si>
  <si>
    <t>Calcium Hydroxide Root Canal medicament 2GM AVUECAl</t>
  </si>
  <si>
    <t>DIE STONE KALABHAI (3KG/PACK) 2PC</t>
  </si>
  <si>
    <t>FLEXI FILES 15-40 K FILE MANI</t>
  </si>
  <si>
    <t>GP POINT 25-45 SET META REFILL</t>
  </si>
  <si>
    <t>GP POINT ASSORTED 15-80 SET META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</si>
  <si>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</si>
  <si>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</si>
  <si>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</si>
  <si>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</si>
  <si>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</si>
  <si>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</si>
  <si>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</si>
  <si>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</si>
  <si>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</si>
  <si>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</si>
  <si>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</si>
  <si>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</si>
  <si>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EXAMINATION GLOVES PRE PRE POWDERED</t>
  </si>
  <si>
    <t>EXAMINATION GLOVES POWDER FREE</t>
  </si>
  <si>
    <t xml:space="preserve">1. Protaper-2 sets </t>
  </si>
  <si>
    <t>2. G.P Points - 4</t>
  </si>
  <si>
    <t xml:space="preserve">3. LA Bottles - 1 </t>
  </si>
  <si>
    <t>4.H-Files</t>
  </si>
  <si>
    <t>6. K- Files - 2</t>
  </si>
  <si>
    <t xml:space="preserve">5. Plugger- 1 </t>
  </si>
  <si>
    <t xml:space="preserve">7. Diamond Bur -1 </t>
  </si>
  <si>
    <t>8.Flexi file-1</t>
  </si>
  <si>
    <t xml:space="preserve">9.FIXON-1 </t>
  </si>
  <si>
    <t>10.Dycal-1</t>
  </si>
  <si>
    <t xml:space="preserve">11.Bioactive RCS-ceramic Root canal sealer-1 </t>
  </si>
  <si>
    <t>12. GIC- Packable Direct Restorative</t>
  </si>
  <si>
    <t>13. INSIGHT- Dental fim carestyream</t>
  </si>
  <si>
    <t xml:space="preserve">14.EPOXY Seal- Root canal sealer </t>
  </si>
  <si>
    <t>15.Suction tips</t>
  </si>
  <si>
    <t>16. GIC Ketac Molar</t>
  </si>
  <si>
    <t>Given to Avinash sir</t>
  </si>
  <si>
    <t xml:space="preserve">                     -   </t>
  </si>
  <si>
    <t xml:space="preserve">                          -</t>
  </si>
  <si>
    <t xml:space="preserve">                           - </t>
  </si>
  <si>
    <t>SOLD PRICE PENDING</t>
  </si>
  <si>
    <t>425/-</t>
  </si>
  <si>
    <t>Amount Received in Num</t>
  </si>
  <si>
    <t>Amount Given to( If Product  sold)</t>
  </si>
  <si>
    <t>Sale Date</t>
  </si>
  <si>
    <t xml:space="preserve">Name of the Product </t>
  </si>
  <si>
    <t>Hospital Name</t>
  </si>
  <si>
    <t>Account Holder : PRO Samba Siva Rao</t>
  </si>
  <si>
    <t xml:space="preserve">Amount Received </t>
  </si>
  <si>
    <t xml:space="preserve">Devaki </t>
  </si>
  <si>
    <t>Dr.Sarat Raju</t>
  </si>
  <si>
    <t>Amount Recevied : 09-09-2025</t>
  </si>
  <si>
    <t>Product Delivered : 02-09-2025</t>
  </si>
  <si>
    <t>1.Dental Stone</t>
  </si>
  <si>
    <t>1. LA Bottles</t>
  </si>
  <si>
    <t>2. LA Bottles</t>
  </si>
  <si>
    <t>Account Holder : PRO Srinivasa Rao</t>
  </si>
  <si>
    <t>Account Holder : Dr. Bhavani Prasad</t>
  </si>
  <si>
    <t>1.Ketac CEM Shofu brand</t>
  </si>
  <si>
    <t xml:space="preserve">Name of the Product Delivered </t>
  </si>
  <si>
    <t>2.Ketac Molar</t>
  </si>
  <si>
    <t>3.RC Help,RC Cal</t>
  </si>
  <si>
    <t>4Mani K-files 15,20</t>
  </si>
  <si>
    <t>5.LA Bottles</t>
  </si>
  <si>
    <t>4.Mani K-files 15,20</t>
  </si>
  <si>
    <t>Poly Zinc +</t>
  </si>
  <si>
    <t xml:space="preserve">DPI PROPOL </t>
  </si>
  <si>
    <t xml:space="preserve">Mail yard fiber post </t>
  </si>
  <si>
    <t xml:space="preserve">Orafil G </t>
  </si>
  <si>
    <t>DPI Eugenol</t>
  </si>
  <si>
    <t>LA Bottle</t>
  </si>
  <si>
    <t xml:space="preserve">Pre powder - Gloves </t>
  </si>
  <si>
    <t>Powder free - Gloves</t>
  </si>
  <si>
    <t>Mani k-files 21mm 15,20</t>
  </si>
  <si>
    <t>Appa Gel (SDS) RC Help,RC Cal</t>
  </si>
  <si>
    <t>sold</t>
  </si>
  <si>
    <t xml:space="preserve">Suction tips </t>
  </si>
  <si>
    <t>Cotton rolls</t>
  </si>
  <si>
    <t>Sterilization pouches</t>
  </si>
  <si>
    <t>20 sold</t>
  </si>
  <si>
    <t>20 or 30</t>
  </si>
  <si>
    <t xml:space="preserve">Bioactive Ceramic root canal </t>
  </si>
  <si>
    <t xml:space="preserve">calcium hydroxide AVUECAL </t>
  </si>
  <si>
    <t xml:space="preserve">Glass ionomer FX shofu </t>
  </si>
  <si>
    <t>Blue fast cut sds</t>
  </si>
  <si>
    <t>compomax</t>
  </si>
  <si>
    <t>compo-flc</t>
  </si>
  <si>
    <t xml:space="preserve">shofu type 1 GIC </t>
  </si>
  <si>
    <t xml:space="preserve">Buying Price Price Rs </t>
  </si>
  <si>
    <t>3M Ketac Cem</t>
  </si>
  <si>
    <t>GIC Filling Shofu</t>
  </si>
  <si>
    <t>Cotton Rolls</t>
  </si>
  <si>
    <t>Oro Steri Pouch</t>
  </si>
  <si>
    <t>Net Revenue</t>
  </si>
  <si>
    <t>Gross- GST %</t>
  </si>
  <si>
    <t>Selling price</t>
  </si>
  <si>
    <t xml:space="preserve">GST    </t>
  </si>
  <si>
    <t>%</t>
  </si>
  <si>
    <t xml:space="preserve">Amt </t>
  </si>
  <si>
    <r>
      <t xml:space="preserve">Gross Revenue Primaria  price </t>
    </r>
    <r>
      <rPr>
        <b/>
        <sz val="11"/>
        <color theme="1"/>
        <rFont val="Calibri"/>
        <family val="2"/>
      </rPr>
      <t>X</t>
    </r>
    <r>
      <rPr>
        <b/>
        <sz val="11"/>
        <color theme="1"/>
        <rFont val="Times New Roman"/>
        <family val="1"/>
      </rPr>
      <t xml:space="preserve"> Qty</t>
    </r>
  </si>
  <si>
    <t>Gross Revenue Sold Price</t>
  </si>
  <si>
    <t xml:space="preserve">RC Help </t>
  </si>
  <si>
    <t>RC Cal</t>
  </si>
  <si>
    <t xml:space="preserve">Mani  K- files 15 </t>
  </si>
  <si>
    <t>Mani  K- files 20</t>
  </si>
  <si>
    <t>=</t>
  </si>
  <si>
    <t xml:space="preserve">Name of the product </t>
  </si>
  <si>
    <t>MRP</t>
  </si>
  <si>
    <t>PRICE</t>
  </si>
  <si>
    <t>GIC Shofu</t>
  </si>
  <si>
    <t xml:space="preserve">Online Price </t>
  </si>
  <si>
    <t>1290 in Offer</t>
  </si>
  <si>
    <t>530 in Offer</t>
  </si>
  <si>
    <t>430 in Offer</t>
  </si>
  <si>
    <t xml:space="preserve">   </t>
  </si>
  <si>
    <t xml:space="preserve">Product name / Brand Name </t>
  </si>
  <si>
    <t xml:space="preserve">Buying Price ( Unit price  with GST  ) </t>
  </si>
  <si>
    <t xml:space="preserve">Selling price for Each unit  with GST  </t>
  </si>
  <si>
    <t xml:space="preserve">Actual Sale Price </t>
  </si>
  <si>
    <t xml:space="preserve">Loss / Profit Difference </t>
  </si>
  <si>
    <t xml:space="preserve">Net Revenue </t>
  </si>
  <si>
    <t xml:space="preserve">Profit or Loss </t>
  </si>
  <si>
    <t xml:space="preserve">Loss </t>
  </si>
  <si>
    <t xml:space="preserve">Net Profit </t>
  </si>
  <si>
    <t>Loss</t>
  </si>
  <si>
    <t>Profit</t>
  </si>
  <si>
    <t>Mani K- files 15</t>
  </si>
  <si>
    <t>Mani K- files 20</t>
  </si>
  <si>
    <t xml:space="preserve">Pending </t>
  </si>
  <si>
    <t xml:space="preserve">Apples </t>
  </si>
  <si>
    <t>Price for each</t>
  </si>
  <si>
    <t>Buying price for each one</t>
  </si>
  <si>
    <t>Actual sale price</t>
  </si>
  <si>
    <t>Loss/Profit difference</t>
  </si>
  <si>
    <t>Toy Car</t>
  </si>
  <si>
    <t>Cats</t>
  </si>
  <si>
    <t>Selling price for each one</t>
  </si>
  <si>
    <t>September</t>
  </si>
  <si>
    <t>Name of the Products</t>
  </si>
  <si>
    <t>Dental Products</t>
  </si>
  <si>
    <t>LA Bottles Around 16k</t>
  </si>
  <si>
    <t>K-files &amp; Rc Cal ,Help 700/-</t>
  </si>
  <si>
    <t xml:space="preserve">RC Solve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</si>
</sst>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top"/>
    </xf>
    <xf numFmtId="2" fontId="1" fillId="0" borderId="1" xfId="0" applyNumberFormat="1" applyFont="1" applyBorder="1"/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2" fontId="5" fillId="0" borderId="1" xfId="0" applyNumberFormat="1" applyFont="1" applyBorder="1"/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/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0" fillId="0" borderId="0" xfId="0" applyNumberFormat="1"/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right"/>
    </xf>
    <xf numFmtId="164" fontId="0" fillId="2" borderId="0" xfId="0" applyNumberFormat="1" applyFill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opLeftCell="B1" workbookViewId="0">
      <selection activeCell="D59" sqref="D59"/>
    </sheetView>
  </sheetViews>
  <sheetFormatPr defaultRowHeight="15" x14ac:dyDescent="0.25"/>
  <cols>
    <col min="1" max="1" width="9.140625" style="1"/>
    <col min="2" max="2" width="9.140625" style="3"/>
    <col min="3" max="3" width="4.85546875" style="1" bestFit="1" customWidth="1"/>
    <col min="4" max="4" width="21.7109375" style="1" customWidth="1"/>
    <col min="5" max="5" width="16.140625" style="10" customWidth="1"/>
    <col min="6" max="6" width="12.140625" style="9" customWidth="1"/>
    <col min="7" max="7" width="12.28515625" style="1" customWidth="1"/>
    <col min="8" max="8" width="15.7109375" style="8" customWidth="1"/>
    <col min="9" max="9" width="14.7109375" style="8" customWidth="1"/>
    <col min="10" max="16384" width="9.140625" style="1"/>
  </cols>
  <sheetData>
    <row r="1" spans="2:9" x14ac:dyDescent="0.25">
      <c r="B1" s="1"/>
      <c r="E1" s="1"/>
      <c r="F1" s="1"/>
      <c r="H1" s="1"/>
    </row>
    <row r="2" spans="2:9" ht="24" x14ac:dyDescent="0.25">
      <c r="B2" s="1"/>
      <c r="C2" s="27" t="s">
        <v>0</v>
      </c>
      <c r="D2" s="28" t="s">
        <v>64</v>
      </c>
      <c r="E2" s="29" t="s">
        <v>65</v>
      </c>
      <c r="F2" s="29" t="s">
        <v>2</v>
      </c>
      <c r="G2" s="29" t="s">
        <v>66</v>
      </c>
      <c r="H2" s="29" t="s">
        <v>67</v>
      </c>
      <c r="I2" s="28" t="s">
        <v>68</v>
      </c>
    </row>
    <row r="3" spans="2:9" ht="24.75" x14ac:dyDescent="0.25">
      <c r="B3" s="1"/>
      <c r="C3" s="30">
        <v>1</v>
      </c>
      <c r="D3" s="31" t="s">
        <v>69</v>
      </c>
      <c r="E3" s="32">
        <v>30064000</v>
      </c>
      <c r="F3" s="32">
        <v>1</v>
      </c>
      <c r="G3" s="32">
        <v>300</v>
      </c>
      <c r="H3" s="33">
        <v>293.44</v>
      </c>
      <c r="I3" s="32">
        <v>300</v>
      </c>
    </row>
    <row r="4" spans="2:9" ht="24.75" x14ac:dyDescent="0.25">
      <c r="B4" s="1"/>
      <c r="C4" s="30">
        <v>2</v>
      </c>
      <c r="D4" s="31" t="s">
        <v>13</v>
      </c>
      <c r="E4" s="32">
        <v>39069090</v>
      </c>
      <c r="F4" s="32">
        <v>1</v>
      </c>
      <c r="G4" s="32">
        <v>1475</v>
      </c>
      <c r="H4" s="33">
        <v>1292.0999999999999</v>
      </c>
      <c r="I4" s="32">
        <v>1400</v>
      </c>
    </row>
    <row r="5" spans="2:9" x14ac:dyDescent="0.25">
      <c r="B5" s="1"/>
      <c r="C5" s="30">
        <v>3</v>
      </c>
      <c r="D5" s="31" t="s">
        <v>14</v>
      </c>
      <c r="E5" s="32">
        <v>37079090</v>
      </c>
      <c r="F5" s="32">
        <v>1</v>
      </c>
      <c r="G5" s="32">
        <v>200</v>
      </c>
      <c r="H5" s="33">
        <v>182.78399999999999</v>
      </c>
      <c r="I5" s="32">
        <v>200</v>
      </c>
    </row>
    <row r="6" spans="2:9" ht="36.75" x14ac:dyDescent="0.25">
      <c r="B6" s="1"/>
      <c r="C6" s="30">
        <v>4</v>
      </c>
      <c r="D6" s="31" t="s">
        <v>15</v>
      </c>
      <c r="E6" s="32">
        <v>30064000</v>
      </c>
      <c r="F6" s="32">
        <v>1</v>
      </c>
      <c r="G6" s="32">
        <v>2660</v>
      </c>
      <c r="H6" s="33">
        <v>2284.8000000000002</v>
      </c>
      <c r="I6" s="32">
        <v>2500</v>
      </c>
    </row>
    <row r="7" spans="2:9" x14ac:dyDescent="0.25">
      <c r="B7" s="1"/>
      <c r="C7" s="30">
        <v>5</v>
      </c>
      <c r="D7" s="31" t="s">
        <v>16</v>
      </c>
      <c r="E7" s="32">
        <v>30064000</v>
      </c>
      <c r="F7" s="32">
        <v>1</v>
      </c>
      <c r="G7" s="32">
        <v>1800</v>
      </c>
      <c r="H7" s="33">
        <v>1680</v>
      </c>
      <c r="I7" s="32">
        <v>1750</v>
      </c>
    </row>
    <row r="8" spans="2:9" ht="24.75" x14ac:dyDescent="0.25">
      <c r="B8" s="1"/>
      <c r="C8" s="30">
        <v>6</v>
      </c>
      <c r="D8" s="31" t="s">
        <v>70</v>
      </c>
      <c r="E8" s="32">
        <v>30064000</v>
      </c>
      <c r="F8" s="32">
        <v>1</v>
      </c>
      <c r="G8" s="32">
        <v>3120</v>
      </c>
      <c r="H8" s="33">
        <v>2912</v>
      </c>
      <c r="I8" s="32">
        <v>3000</v>
      </c>
    </row>
    <row r="9" spans="2:9" x14ac:dyDescent="0.25">
      <c r="B9" s="1"/>
      <c r="C9" s="30">
        <v>7</v>
      </c>
      <c r="D9" s="31" t="s">
        <v>17</v>
      </c>
      <c r="E9" s="32">
        <v>29095020</v>
      </c>
      <c r="F9" s="32">
        <v>1</v>
      </c>
      <c r="G9" s="32">
        <v>725</v>
      </c>
      <c r="H9" s="33">
        <v>724.52</v>
      </c>
      <c r="I9" s="32">
        <v>725</v>
      </c>
    </row>
    <row r="10" spans="2:9" x14ac:dyDescent="0.25">
      <c r="B10" s="1"/>
      <c r="C10" s="30">
        <v>8</v>
      </c>
      <c r="D10" s="31" t="s">
        <v>71</v>
      </c>
      <c r="E10" s="32">
        <v>30049099</v>
      </c>
      <c r="F10" s="32">
        <v>1</v>
      </c>
      <c r="G10" s="32">
        <v>190</v>
      </c>
      <c r="H10" s="33">
        <v>189.98</v>
      </c>
      <c r="I10" s="32">
        <v>190</v>
      </c>
    </row>
    <row r="11" spans="2:9" ht="24.75" x14ac:dyDescent="0.25">
      <c r="B11" s="1"/>
      <c r="C11" s="30">
        <v>9</v>
      </c>
      <c r="D11" s="31" t="s">
        <v>18</v>
      </c>
      <c r="E11" s="32">
        <v>33061010</v>
      </c>
      <c r="F11" s="32">
        <v>1</v>
      </c>
      <c r="G11" s="32">
        <v>53.5</v>
      </c>
      <c r="H11" s="33">
        <v>53.1</v>
      </c>
      <c r="I11" s="32">
        <v>53.5</v>
      </c>
    </row>
    <row r="12" spans="2:9" x14ac:dyDescent="0.25">
      <c r="B12" s="1"/>
      <c r="C12" s="30">
        <v>10</v>
      </c>
      <c r="D12" s="31" t="s">
        <v>72</v>
      </c>
      <c r="E12" s="32">
        <v>30064000</v>
      </c>
      <c r="F12" s="32">
        <v>1</v>
      </c>
      <c r="G12" s="32">
        <v>1340</v>
      </c>
      <c r="H12" s="33">
        <v>1316</v>
      </c>
      <c r="I12" s="32">
        <v>1340</v>
      </c>
    </row>
    <row r="13" spans="2:9" ht="24.75" x14ac:dyDescent="0.25">
      <c r="B13" s="1"/>
      <c r="C13" s="30">
        <v>11</v>
      </c>
      <c r="D13" s="31" t="s">
        <v>73</v>
      </c>
      <c r="E13" s="32">
        <v>30064000</v>
      </c>
      <c r="F13" s="32">
        <v>1</v>
      </c>
      <c r="G13" s="32">
        <v>3280</v>
      </c>
      <c r="H13" s="33">
        <v>2688</v>
      </c>
      <c r="I13" s="32">
        <v>3000</v>
      </c>
    </row>
    <row r="14" spans="2:9" ht="24.75" x14ac:dyDescent="0.25">
      <c r="B14" s="1"/>
      <c r="C14" s="30">
        <v>12</v>
      </c>
      <c r="D14" s="31" t="s">
        <v>19</v>
      </c>
      <c r="E14" s="32">
        <v>30064000</v>
      </c>
      <c r="F14" s="32">
        <v>1</v>
      </c>
      <c r="G14" s="32">
        <v>4490</v>
      </c>
      <c r="H14" s="33">
        <v>3864</v>
      </c>
      <c r="I14" s="32">
        <v>4100</v>
      </c>
    </row>
    <row r="15" spans="2:9" ht="36.75" x14ac:dyDescent="0.25">
      <c r="B15" s="1"/>
      <c r="C15" s="30">
        <v>13</v>
      </c>
      <c r="D15" s="31" t="s">
        <v>74</v>
      </c>
      <c r="E15" s="32">
        <v>34070090</v>
      </c>
      <c r="F15" s="32">
        <v>1</v>
      </c>
      <c r="G15" s="32">
        <v>240</v>
      </c>
      <c r="H15" s="33">
        <v>196</v>
      </c>
      <c r="I15" s="32">
        <v>220</v>
      </c>
    </row>
    <row r="16" spans="2:9" ht="36.75" x14ac:dyDescent="0.25">
      <c r="B16" s="1"/>
      <c r="C16" s="30">
        <v>14</v>
      </c>
      <c r="D16" s="31" t="s">
        <v>75</v>
      </c>
      <c r="E16" s="32">
        <v>34070090</v>
      </c>
      <c r="F16" s="32">
        <v>1</v>
      </c>
      <c r="G16" s="32">
        <v>570</v>
      </c>
      <c r="H16" s="33">
        <v>383.5</v>
      </c>
      <c r="I16" s="32">
        <v>490</v>
      </c>
    </row>
    <row r="17" spans="2:9" ht="24.75" x14ac:dyDescent="0.25">
      <c r="B17" s="1"/>
      <c r="C17" s="30">
        <v>15</v>
      </c>
      <c r="D17" s="31" t="s">
        <v>20</v>
      </c>
      <c r="E17" s="32">
        <v>34070090</v>
      </c>
      <c r="F17" s="32">
        <v>1</v>
      </c>
      <c r="G17" s="32">
        <v>575</v>
      </c>
      <c r="H17" s="33">
        <v>536.9</v>
      </c>
      <c r="I17" s="32">
        <v>550</v>
      </c>
    </row>
    <row r="18" spans="2:9" x14ac:dyDescent="0.25">
      <c r="B18" s="1"/>
      <c r="C18" s="30">
        <v>16</v>
      </c>
      <c r="D18" s="31" t="s">
        <v>21</v>
      </c>
      <c r="E18" s="32">
        <v>34070090</v>
      </c>
      <c r="F18" s="32">
        <v>1</v>
      </c>
      <c r="G18" s="32">
        <v>220</v>
      </c>
      <c r="H18" s="33">
        <v>162.4</v>
      </c>
      <c r="I18" s="32">
        <v>199</v>
      </c>
    </row>
    <row r="19" spans="2:9" ht="24.75" x14ac:dyDescent="0.25">
      <c r="B19" s="1"/>
      <c r="C19" s="30">
        <v>17</v>
      </c>
      <c r="D19" s="31" t="s">
        <v>76</v>
      </c>
      <c r="E19" s="32">
        <v>37011010</v>
      </c>
      <c r="F19" s="32">
        <v>1</v>
      </c>
      <c r="G19" s="32">
        <v>4525.25</v>
      </c>
      <c r="H19" s="33">
        <v>4425</v>
      </c>
      <c r="I19" s="32">
        <v>4500</v>
      </c>
    </row>
    <row r="20" spans="2:9" ht="24.75" x14ac:dyDescent="0.25">
      <c r="B20" s="1"/>
      <c r="C20" s="30">
        <v>18</v>
      </c>
      <c r="D20" s="31" t="s">
        <v>22</v>
      </c>
      <c r="E20" s="32">
        <v>90184900</v>
      </c>
      <c r="F20" s="32">
        <v>1</v>
      </c>
      <c r="G20" s="32">
        <v>375</v>
      </c>
      <c r="H20" s="33">
        <v>358.4</v>
      </c>
      <c r="I20" s="32">
        <v>370</v>
      </c>
    </row>
    <row r="21" spans="2:9" x14ac:dyDescent="0.25">
      <c r="B21" s="1"/>
      <c r="C21" s="30">
        <v>19</v>
      </c>
      <c r="D21" s="31" t="s">
        <v>23</v>
      </c>
      <c r="E21" s="32">
        <v>34070090</v>
      </c>
      <c r="F21" s="32">
        <v>1</v>
      </c>
      <c r="G21" s="32">
        <v>175</v>
      </c>
      <c r="H21" s="33">
        <v>165.2</v>
      </c>
      <c r="I21" s="32">
        <v>170</v>
      </c>
    </row>
    <row r="22" spans="2:9" ht="24.75" x14ac:dyDescent="0.25">
      <c r="B22" s="1"/>
      <c r="C22" s="30">
        <v>20</v>
      </c>
      <c r="D22" s="31" t="s">
        <v>24</v>
      </c>
      <c r="E22" s="32">
        <v>30064000</v>
      </c>
      <c r="F22" s="32">
        <v>1</v>
      </c>
      <c r="G22" s="32">
        <v>570</v>
      </c>
      <c r="H22" s="33">
        <v>537.6</v>
      </c>
      <c r="I22" s="32">
        <v>560</v>
      </c>
    </row>
    <row r="23" spans="2:9" ht="24.75" x14ac:dyDescent="0.25">
      <c r="B23" s="1"/>
      <c r="C23" s="30">
        <v>21</v>
      </c>
      <c r="D23" s="31" t="s">
        <v>25</v>
      </c>
      <c r="E23" s="32">
        <v>30064000</v>
      </c>
      <c r="F23" s="32">
        <v>1</v>
      </c>
      <c r="G23" s="32">
        <v>322</v>
      </c>
      <c r="H23" s="33">
        <v>224</v>
      </c>
      <c r="I23" s="32">
        <v>300</v>
      </c>
    </row>
    <row r="24" spans="2:9" ht="24.75" x14ac:dyDescent="0.25">
      <c r="B24" s="1"/>
      <c r="C24" s="30">
        <v>22</v>
      </c>
      <c r="D24" s="31" t="s">
        <v>77</v>
      </c>
      <c r="E24" s="32">
        <v>48239090</v>
      </c>
      <c r="F24" s="32">
        <v>1</v>
      </c>
      <c r="G24" s="32">
        <v>550</v>
      </c>
      <c r="H24" s="33">
        <v>501.5</v>
      </c>
      <c r="I24" s="32">
        <v>540</v>
      </c>
    </row>
    <row r="25" spans="2:9" x14ac:dyDescent="0.25">
      <c r="B25" s="1"/>
      <c r="C25" s="30">
        <v>23</v>
      </c>
      <c r="D25" s="31" t="s">
        <v>26</v>
      </c>
      <c r="E25" s="32">
        <v>30064000</v>
      </c>
      <c r="F25" s="32">
        <v>1</v>
      </c>
      <c r="G25" s="32">
        <v>1950</v>
      </c>
      <c r="H25" s="33">
        <v>1848</v>
      </c>
      <c r="I25" s="32">
        <v>1925</v>
      </c>
    </row>
    <row r="26" spans="2:9" ht="24.75" x14ac:dyDescent="0.25">
      <c r="B26" s="1"/>
      <c r="C26" s="30">
        <v>24</v>
      </c>
      <c r="D26" s="31" t="s">
        <v>27</v>
      </c>
      <c r="E26" s="32">
        <v>90184900</v>
      </c>
      <c r="F26" s="32">
        <v>1</v>
      </c>
      <c r="G26" s="32">
        <v>4580</v>
      </c>
      <c r="H26" s="33">
        <v>4323.2</v>
      </c>
      <c r="I26" s="32">
        <v>4500</v>
      </c>
    </row>
    <row r="27" spans="2:9" ht="36.75" x14ac:dyDescent="0.25">
      <c r="B27" s="1"/>
      <c r="C27" s="30">
        <v>25</v>
      </c>
      <c r="D27" s="31" t="s">
        <v>78</v>
      </c>
      <c r="E27" s="32">
        <v>37011010</v>
      </c>
      <c r="F27" s="32">
        <v>1</v>
      </c>
      <c r="G27" s="32">
        <v>3795</v>
      </c>
      <c r="H27" s="33">
        <v>3795</v>
      </c>
      <c r="I27" s="32">
        <v>3795</v>
      </c>
    </row>
    <row r="28" spans="2:9" ht="36.75" x14ac:dyDescent="0.25">
      <c r="B28" s="1"/>
      <c r="C28" s="30">
        <v>26</v>
      </c>
      <c r="D28" s="31" t="s">
        <v>79</v>
      </c>
      <c r="E28" s="32">
        <v>37011010</v>
      </c>
      <c r="F28" s="32">
        <v>1</v>
      </c>
      <c r="G28" s="32">
        <v>3892</v>
      </c>
      <c r="H28" s="33">
        <v>3769.92</v>
      </c>
      <c r="I28" s="32">
        <v>3850</v>
      </c>
    </row>
    <row r="29" spans="2:9" ht="24.75" x14ac:dyDescent="0.25">
      <c r="B29" s="1"/>
      <c r="C29" s="30">
        <v>27</v>
      </c>
      <c r="D29" s="31" t="s">
        <v>28</v>
      </c>
      <c r="E29" s="32">
        <v>25201090</v>
      </c>
      <c r="F29" s="32">
        <v>1</v>
      </c>
      <c r="G29" s="32">
        <v>500</v>
      </c>
      <c r="H29" s="33">
        <v>367.5</v>
      </c>
      <c r="I29" s="32">
        <v>425</v>
      </c>
    </row>
    <row r="30" spans="2:9" ht="24.75" x14ac:dyDescent="0.25">
      <c r="B30" s="1"/>
      <c r="C30" s="30">
        <v>28</v>
      </c>
      <c r="D30" s="31" t="s">
        <v>29</v>
      </c>
      <c r="E30" s="32">
        <v>90184900</v>
      </c>
      <c r="F30" s="32">
        <v>1</v>
      </c>
      <c r="G30" s="32">
        <v>444</v>
      </c>
      <c r="H30" s="33">
        <v>364</v>
      </c>
      <c r="I30" s="32">
        <v>400</v>
      </c>
    </row>
    <row r="31" spans="2:9" ht="36.75" x14ac:dyDescent="0.25">
      <c r="B31" s="1"/>
      <c r="C31" s="30">
        <v>29</v>
      </c>
      <c r="D31" s="31" t="s">
        <v>80</v>
      </c>
      <c r="E31" s="32">
        <v>30064000</v>
      </c>
      <c r="F31" s="32">
        <v>1</v>
      </c>
      <c r="G31" s="32">
        <v>200</v>
      </c>
      <c r="H31" s="33">
        <v>171.36</v>
      </c>
      <c r="I31" s="32">
        <v>195</v>
      </c>
    </row>
    <row r="32" spans="2:9" ht="24.75" x14ac:dyDescent="0.25">
      <c r="B32" s="1"/>
      <c r="C32" s="30">
        <v>30</v>
      </c>
      <c r="D32" s="31" t="s">
        <v>81</v>
      </c>
      <c r="E32" s="32">
        <v>25201090</v>
      </c>
      <c r="F32" s="32">
        <v>1</v>
      </c>
      <c r="G32" s="32">
        <v>650</v>
      </c>
      <c r="H32" s="33">
        <v>585.9</v>
      </c>
      <c r="I32" s="32">
        <v>625</v>
      </c>
    </row>
    <row r="33" spans="2:9" ht="24.75" x14ac:dyDescent="0.25">
      <c r="B33" s="1"/>
      <c r="C33" s="30">
        <v>31</v>
      </c>
      <c r="D33" s="31" t="s">
        <v>30</v>
      </c>
      <c r="E33" s="32">
        <v>90184900</v>
      </c>
      <c r="F33" s="32">
        <v>1</v>
      </c>
      <c r="G33" s="32">
        <v>250</v>
      </c>
      <c r="H33" s="33">
        <v>196</v>
      </c>
      <c r="I33" s="32">
        <v>225</v>
      </c>
    </row>
    <row r="34" spans="2:9" ht="24.75" x14ac:dyDescent="0.25">
      <c r="B34" s="1"/>
      <c r="C34" s="30">
        <v>32</v>
      </c>
      <c r="D34" s="31" t="s">
        <v>82</v>
      </c>
      <c r="E34" s="32">
        <v>90184900</v>
      </c>
      <c r="F34" s="32">
        <v>1</v>
      </c>
      <c r="G34" s="32">
        <v>405</v>
      </c>
      <c r="H34" s="33">
        <v>380.8</v>
      </c>
      <c r="I34" s="32">
        <v>400</v>
      </c>
    </row>
    <row r="35" spans="2:9" ht="24.75" x14ac:dyDescent="0.25">
      <c r="B35" s="1"/>
      <c r="C35" s="30">
        <v>33</v>
      </c>
      <c r="D35" s="31" t="s">
        <v>83</v>
      </c>
      <c r="E35" s="32">
        <v>30064010</v>
      </c>
      <c r="F35" s="32">
        <v>1</v>
      </c>
      <c r="G35" s="32">
        <v>300</v>
      </c>
      <c r="H35" s="33">
        <v>257.60000000000002</v>
      </c>
      <c r="I35" s="32">
        <v>280</v>
      </c>
    </row>
    <row r="36" spans="2:9" ht="24.75" x14ac:dyDescent="0.25">
      <c r="B36" s="1"/>
      <c r="C36" s="30">
        <v>34</v>
      </c>
      <c r="D36" s="31" t="s">
        <v>84</v>
      </c>
      <c r="E36" s="32">
        <v>30064010</v>
      </c>
      <c r="F36" s="32">
        <v>1</v>
      </c>
      <c r="G36" s="32">
        <v>300</v>
      </c>
      <c r="H36" s="33">
        <v>257.60000000000002</v>
      </c>
      <c r="I36" s="32">
        <v>280</v>
      </c>
    </row>
    <row r="37" spans="2:9" ht="24.75" x14ac:dyDescent="0.25">
      <c r="B37" s="1"/>
      <c r="C37" s="30">
        <v>35</v>
      </c>
      <c r="D37" s="31" t="s">
        <v>31</v>
      </c>
      <c r="E37" s="32">
        <v>30064000</v>
      </c>
      <c r="F37" s="32">
        <v>1</v>
      </c>
      <c r="G37" s="32">
        <v>16500</v>
      </c>
      <c r="H37" s="33">
        <v>14560</v>
      </c>
      <c r="I37" s="32">
        <v>16000</v>
      </c>
    </row>
    <row r="38" spans="2:9" x14ac:dyDescent="0.25">
      <c r="B38" s="1"/>
      <c r="C38" s="30">
        <v>36</v>
      </c>
      <c r="D38" s="31" t="s">
        <v>85</v>
      </c>
      <c r="E38" s="32">
        <v>90184900</v>
      </c>
      <c r="F38" s="32">
        <v>1</v>
      </c>
      <c r="G38" s="32">
        <v>1000</v>
      </c>
      <c r="H38" s="33">
        <v>761.6</v>
      </c>
      <c r="I38" s="32">
        <v>850</v>
      </c>
    </row>
    <row r="39" spans="2:9" ht="24.75" x14ac:dyDescent="0.25">
      <c r="B39" s="1"/>
      <c r="C39" s="30">
        <v>37</v>
      </c>
      <c r="D39" s="31" t="s">
        <v>86</v>
      </c>
      <c r="E39" s="32">
        <v>90184900</v>
      </c>
      <c r="F39" s="32">
        <v>1</v>
      </c>
      <c r="G39" s="32">
        <v>309</v>
      </c>
      <c r="H39" s="33">
        <v>280</v>
      </c>
      <c r="I39" s="32">
        <v>300</v>
      </c>
    </row>
    <row r="40" spans="2:9" ht="36.75" x14ac:dyDescent="0.25">
      <c r="B40" s="1"/>
      <c r="C40" s="30">
        <v>38</v>
      </c>
      <c r="D40" s="31" t="s">
        <v>87</v>
      </c>
      <c r="E40" s="32">
        <v>90184900</v>
      </c>
      <c r="F40" s="32">
        <v>1</v>
      </c>
      <c r="G40" s="32">
        <v>309</v>
      </c>
      <c r="H40" s="33">
        <v>280</v>
      </c>
      <c r="I40" s="32">
        <v>300</v>
      </c>
    </row>
    <row r="41" spans="2:9" ht="24.75" x14ac:dyDescent="0.25">
      <c r="B41" s="1"/>
      <c r="C41" s="30">
        <v>39</v>
      </c>
      <c r="D41" s="31" t="s">
        <v>88</v>
      </c>
      <c r="E41" s="32">
        <v>90184900</v>
      </c>
      <c r="F41" s="32">
        <v>1</v>
      </c>
      <c r="G41" s="32">
        <v>309</v>
      </c>
      <c r="H41" s="33">
        <v>280</v>
      </c>
      <c r="I41" s="32">
        <v>300</v>
      </c>
    </row>
    <row r="42" spans="2:9" ht="36.75" x14ac:dyDescent="0.25">
      <c r="B42" s="1"/>
      <c r="C42" s="30">
        <v>40</v>
      </c>
      <c r="D42" s="31" t="s">
        <v>89</v>
      </c>
      <c r="E42" s="32">
        <v>90184900</v>
      </c>
      <c r="F42" s="32">
        <v>1</v>
      </c>
      <c r="G42" s="32">
        <v>309</v>
      </c>
      <c r="H42" s="33">
        <v>280</v>
      </c>
      <c r="I42" s="32">
        <v>300</v>
      </c>
    </row>
    <row r="43" spans="2:9" ht="36.75" x14ac:dyDescent="0.25">
      <c r="B43" s="1"/>
      <c r="C43" s="30">
        <v>41</v>
      </c>
      <c r="D43" s="31" t="s">
        <v>90</v>
      </c>
      <c r="E43" s="32">
        <v>90184900</v>
      </c>
      <c r="F43" s="32">
        <v>1</v>
      </c>
      <c r="G43" s="32">
        <v>4555</v>
      </c>
      <c r="H43" s="33">
        <v>3998.4</v>
      </c>
      <c r="I43" s="32">
        <v>4400</v>
      </c>
    </row>
    <row r="44" spans="2:9" ht="36.75" x14ac:dyDescent="0.25">
      <c r="B44" s="1"/>
      <c r="C44" s="30">
        <v>42</v>
      </c>
      <c r="D44" s="31" t="s">
        <v>91</v>
      </c>
      <c r="E44" s="32">
        <v>90184900</v>
      </c>
      <c r="F44" s="32">
        <v>1</v>
      </c>
      <c r="G44" s="32">
        <v>4555</v>
      </c>
      <c r="H44" s="33">
        <v>3998.4</v>
      </c>
      <c r="I44" s="32">
        <v>4400</v>
      </c>
    </row>
    <row r="45" spans="2:9" ht="24.75" x14ac:dyDescent="0.25">
      <c r="B45" s="1"/>
      <c r="C45" s="30">
        <v>43</v>
      </c>
      <c r="D45" s="31" t="s">
        <v>92</v>
      </c>
      <c r="E45" s="32">
        <v>34070090</v>
      </c>
      <c r="F45" s="32">
        <v>1</v>
      </c>
      <c r="G45" s="32">
        <v>225</v>
      </c>
      <c r="H45" s="33">
        <v>212.4</v>
      </c>
      <c r="I45" s="32">
        <v>220</v>
      </c>
    </row>
    <row r="46" spans="2:9" ht="24.75" x14ac:dyDescent="0.25">
      <c r="B46" s="1"/>
      <c r="C46" s="30">
        <v>44</v>
      </c>
      <c r="D46" s="31" t="s">
        <v>93</v>
      </c>
      <c r="E46" s="32">
        <v>30064000</v>
      </c>
      <c r="F46" s="32">
        <v>1</v>
      </c>
      <c r="G46" s="32">
        <v>410</v>
      </c>
      <c r="H46" s="33">
        <v>392</v>
      </c>
      <c r="I46" s="32">
        <v>400</v>
      </c>
    </row>
    <row r="47" spans="2:9" x14ac:dyDescent="0.25">
      <c r="B47" s="1"/>
      <c r="C47" s="30">
        <v>45</v>
      </c>
      <c r="D47" s="31" t="s">
        <v>94</v>
      </c>
      <c r="E47" s="32">
        <v>30059090</v>
      </c>
      <c r="F47" s="32">
        <v>1</v>
      </c>
      <c r="G47" s="32">
        <v>740</v>
      </c>
      <c r="H47" s="33">
        <v>504</v>
      </c>
      <c r="I47" s="32">
        <v>600</v>
      </c>
    </row>
    <row r="48" spans="2:9" ht="24.75" x14ac:dyDescent="0.25">
      <c r="B48" s="1"/>
      <c r="C48" s="30">
        <v>46</v>
      </c>
      <c r="D48" s="31" t="s">
        <v>95</v>
      </c>
      <c r="E48" s="32">
        <v>90184900</v>
      </c>
      <c r="F48" s="32">
        <v>1</v>
      </c>
      <c r="G48" s="32">
        <v>800</v>
      </c>
      <c r="H48" s="33">
        <v>685.44</v>
      </c>
      <c r="I48" s="32">
        <v>750</v>
      </c>
    </row>
    <row r="49" spans="2:9" ht="24.75" x14ac:dyDescent="0.25">
      <c r="B49" s="1"/>
      <c r="C49" s="30">
        <v>47</v>
      </c>
      <c r="D49" s="31" t="s">
        <v>96</v>
      </c>
      <c r="E49" s="32">
        <v>90184900</v>
      </c>
      <c r="F49" s="32">
        <v>1</v>
      </c>
      <c r="G49" s="32">
        <v>800</v>
      </c>
      <c r="H49" s="33">
        <v>685.44</v>
      </c>
      <c r="I49" s="32">
        <v>750</v>
      </c>
    </row>
    <row r="50" spans="2:9" ht="24.75" x14ac:dyDescent="0.25">
      <c r="B50" s="1"/>
      <c r="C50" s="30">
        <v>48</v>
      </c>
      <c r="D50" s="31" t="s">
        <v>32</v>
      </c>
      <c r="E50" s="32">
        <v>30064000</v>
      </c>
      <c r="F50" s="32">
        <v>1</v>
      </c>
      <c r="G50" s="32">
        <v>74</v>
      </c>
      <c r="H50" s="33">
        <v>72.8</v>
      </c>
      <c r="I50" s="32">
        <v>74</v>
      </c>
    </row>
    <row r="51" spans="2:9" ht="24.75" x14ac:dyDescent="0.25">
      <c r="B51" s="1"/>
      <c r="C51" s="30">
        <v>49</v>
      </c>
      <c r="D51" s="31" t="s">
        <v>33</v>
      </c>
      <c r="E51" s="32">
        <v>30059090</v>
      </c>
      <c r="F51" s="32">
        <v>1</v>
      </c>
      <c r="G51" s="32">
        <v>700</v>
      </c>
      <c r="H51" s="33">
        <v>616</v>
      </c>
      <c r="I51" s="32">
        <v>650</v>
      </c>
    </row>
    <row r="52" spans="2:9" ht="24.75" x14ac:dyDescent="0.25">
      <c r="B52" s="1"/>
      <c r="C52" s="30">
        <v>50</v>
      </c>
      <c r="D52" s="31" t="s">
        <v>34</v>
      </c>
      <c r="E52" s="32">
        <v>28470000</v>
      </c>
      <c r="F52" s="32">
        <v>1</v>
      </c>
      <c r="G52" s="32">
        <v>100</v>
      </c>
      <c r="H52" s="33">
        <v>84</v>
      </c>
      <c r="I52" s="32">
        <v>95</v>
      </c>
    </row>
    <row r="53" spans="2:9" ht="24.75" x14ac:dyDescent="0.25">
      <c r="B53" s="1"/>
      <c r="C53" s="30">
        <v>51</v>
      </c>
      <c r="D53" s="31" t="s">
        <v>97</v>
      </c>
      <c r="E53" s="32">
        <v>40151900</v>
      </c>
      <c r="F53" s="32">
        <v>1</v>
      </c>
      <c r="G53" s="32">
        <v>999</v>
      </c>
      <c r="H53" s="33">
        <v>280</v>
      </c>
      <c r="I53" s="32">
        <v>375</v>
      </c>
    </row>
    <row r="54" spans="2:9" ht="24.75" x14ac:dyDescent="0.25">
      <c r="C54" s="30">
        <v>52</v>
      </c>
      <c r="D54" s="31" t="s">
        <v>98</v>
      </c>
      <c r="E54" s="32">
        <v>40151900</v>
      </c>
      <c r="F54" s="32">
        <v>1</v>
      </c>
      <c r="G54" s="32">
        <v>990</v>
      </c>
      <c r="H54" s="33">
        <v>302.39999999999998</v>
      </c>
      <c r="I54" s="32">
        <v>475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8"/>
  <sheetViews>
    <sheetView workbookViewId="0">
      <selection activeCell="D57" sqref="D57"/>
    </sheetView>
  </sheetViews>
  <sheetFormatPr defaultRowHeight="15" x14ac:dyDescent="0.25"/>
  <cols>
    <col min="1" max="1" width="9.140625" style="1"/>
    <col min="2" max="2" width="4.85546875" style="3" bestFit="1" customWidth="1"/>
    <col min="3" max="3" width="25.5703125" style="1" customWidth="1"/>
    <col min="4" max="4" width="9.140625" style="1"/>
    <col min="5" max="5" width="9.140625" style="10"/>
    <col min="6" max="6" width="9.140625" style="9"/>
    <col min="7" max="7" width="12.7109375" style="1" bestFit="1" customWidth="1"/>
    <col min="8" max="8" width="15.28515625" style="8" customWidth="1"/>
    <col min="9" max="9" width="13.28515625" style="8" customWidth="1"/>
    <col min="10" max="10" width="13.42578125" style="1" customWidth="1"/>
    <col min="11" max="16384" width="9.140625" style="1"/>
  </cols>
  <sheetData>
    <row r="2" spans="2:10" ht="24" x14ac:dyDescent="0.25">
      <c r="B2" s="34" t="s">
        <v>0</v>
      </c>
      <c r="C2" s="28" t="s">
        <v>64</v>
      </c>
      <c r="D2" s="29" t="s">
        <v>65</v>
      </c>
      <c r="E2" s="29" t="s">
        <v>2</v>
      </c>
      <c r="F2" s="29" t="s">
        <v>66</v>
      </c>
      <c r="G2" s="29" t="s">
        <v>67</v>
      </c>
      <c r="H2" s="28" t="s">
        <v>68</v>
      </c>
      <c r="I2" s="36" t="s">
        <v>45</v>
      </c>
      <c r="J2" s="29" t="s">
        <v>123</v>
      </c>
    </row>
    <row r="3" spans="2:10" ht="24.75" x14ac:dyDescent="0.25">
      <c r="B3" s="30">
        <v>1</v>
      </c>
      <c r="C3" s="31" t="s">
        <v>69</v>
      </c>
      <c r="D3" s="32">
        <v>30064000</v>
      </c>
      <c r="E3" s="32">
        <v>1</v>
      </c>
      <c r="F3" s="32">
        <v>300</v>
      </c>
      <c r="G3" s="33">
        <v>293.44</v>
      </c>
      <c r="H3" s="32">
        <v>300</v>
      </c>
      <c r="I3" s="35"/>
      <c r="J3" s="37"/>
    </row>
    <row r="4" spans="2:10" ht="24.75" x14ac:dyDescent="0.25">
      <c r="B4" s="30">
        <v>2</v>
      </c>
      <c r="C4" s="31" t="s">
        <v>13</v>
      </c>
      <c r="D4" s="32">
        <v>39069090</v>
      </c>
      <c r="E4" s="32">
        <v>1</v>
      </c>
      <c r="F4" s="32">
        <v>1475</v>
      </c>
      <c r="G4" s="33">
        <v>1292.0999999999999</v>
      </c>
      <c r="H4" s="32">
        <v>1400</v>
      </c>
      <c r="I4" s="35"/>
      <c r="J4" s="37"/>
    </row>
    <row r="5" spans="2:10" x14ac:dyDescent="0.25">
      <c r="B5" s="30">
        <v>3</v>
      </c>
      <c r="C5" s="31" t="s">
        <v>14</v>
      </c>
      <c r="D5" s="32">
        <v>37079090</v>
      </c>
      <c r="E5" s="32">
        <v>1</v>
      </c>
      <c r="F5" s="32">
        <v>200</v>
      </c>
      <c r="G5" s="33">
        <v>182.78399999999999</v>
      </c>
      <c r="H5" s="32">
        <v>200</v>
      </c>
      <c r="I5" s="35"/>
      <c r="J5" s="37"/>
    </row>
    <row r="6" spans="2:10" ht="27" customHeight="1" x14ac:dyDescent="0.25">
      <c r="B6" s="30">
        <v>4</v>
      </c>
      <c r="C6" s="31" t="s">
        <v>15</v>
      </c>
      <c r="D6" s="32">
        <v>30064000</v>
      </c>
      <c r="E6" s="32">
        <v>1</v>
      </c>
      <c r="F6" s="32">
        <v>2660</v>
      </c>
      <c r="G6" s="33">
        <v>2284.8000000000002</v>
      </c>
      <c r="H6" s="32">
        <v>2500</v>
      </c>
      <c r="I6" s="35"/>
      <c r="J6" s="37"/>
    </row>
    <row r="7" spans="2:10" x14ac:dyDescent="0.25">
      <c r="B7" s="30">
        <v>5</v>
      </c>
      <c r="C7" s="31" t="s">
        <v>16</v>
      </c>
      <c r="D7" s="32">
        <v>30064000</v>
      </c>
      <c r="E7" s="32">
        <v>1</v>
      </c>
      <c r="F7" s="32">
        <v>1800</v>
      </c>
      <c r="G7" s="33">
        <v>1680</v>
      </c>
      <c r="H7" s="32">
        <v>1750</v>
      </c>
      <c r="I7" s="35"/>
      <c r="J7" s="37"/>
    </row>
    <row r="8" spans="2:10" ht="24.75" x14ac:dyDescent="0.25">
      <c r="B8" s="30">
        <v>6</v>
      </c>
      <c r="C8" s="31" t="s">
        <v>70</v>
      </c>
      <c r="D8" s="32">
        <v>30064000</v>
      </c>
      <c r="E8" s="32">
        <v>1</v>
      </c>
      <c r="F8" s="32">
        <v>3120</v>
      </c>
      <c r="G8" s="33">
        <v>2912</v>
      </c>
      <c r="H8" s="32">
        <v>3000</v>
      </c>
      <c r="I8" s="35"/>
      <c r="J8" s="37"/>
    </row>
    <row r="9" spans="2:10" x14ac:dyDescent="0.25">
      <c r="B9" s="30">
        <v>7</v>
      </c>
      <c r="C9" s="31" t="s">
        <v>17</v>
      </c>
      <c r="D9" s="32">
        <v>29095020</v>
      </c>
      <c r="E9" s="32">
        <v>1</v>
      </c>
      <c r="F9" s="32">
        <v>725</v>
      </c>
      <c r="G9" s="33">
        <v>724.52</v>
      </c>
      <c r="H9" s="32">
        <v>725</v>
      </c>
      <c r="I9" s="35"/>
      <c r="J9" s="37"/>
    </row>
    <row r="10" spans="2:10" x14ac:dyDescent="0.25">
      <c r="B10" s="30">
        <v>8</v>
      </c>
      <c r="C10" s="31" t="s">
        <v>71</v>
      </c>
      <c r="D10" s="32">
        <v>30049099</v>
      </c>
      <c r="E10" s="32">
        <v>1</v>
      </c>
      <c r="F10" s="32">
        <v>190</v>
      </c>
      <c r="G10" s="33">
        <v>189.98</v>
      </c>
      <c r="H10" s="32">
        <v>190</v>
      </c>
      <c r="I10" s="35"/>
      <c r="J10" s="37"/>
    </row>
    <row r="11" spans="2:10" ht="24.75" x14ac:dyDescent="0.25">
      <c r="B11" s="30">
        <v>9</v>
      </c>
      <c r="C11" s="31" t="s">
        <v>18</v>
      </c>
      <c r="D11" s="32">
        <v>33061010</v>
      </c>
      <c r="E11" s="32">
        <v>1</v>
      </c>
      <c r="F11" s="32">
        <v>53.5</v>
      </c>
      <c r="G11" s="33">
        <v>53.1</v>
      </c>
      <c r="H11" s="32">
        <v>53.5</v>
      </c>
      <c r="I11" s="35"/>
      <c r="J11" s="37"/>
    </row>
    <row r="12" spans="2:10" x14ac:dyDescent="0.25">
      <c r="B12" s="30">
        <v>10</v>
      </c>
      <c r="C12" s="31" t="s">
        <v>72</v>
      </c>
      <c r="D12" s="32">
        <v>30064000</v>
      </c>
      <c r="E12" s="32">
        <v>1</v>
      </c>
      <c r="F12" s="32">
        <v>1340</v>
      </c>
      <c r="G12" s="33">
        <v>1316</v>
      </c>
      <c r="H12" s="32">
        <v>1340</v>
      </c>
      <c r="I12" s="35"/>
      <c r="J12" s="37"/>
    </row>
    <row r="13" spans="2:10" ht="24.75" x14ac:dyDescent="0.25">
      <c r="B13" s="30">
        <v>11</v>
      </c>
      <c r="C13" s="31" t="s">
        <v>73</v>
      </c>
      <c r="D13" s="32">
        <v>30064000</v>
      </c>
      <c r="E13" s="32">
        <v>1</v>
      </c>
      <c r="F13" s="32">
        <v>3280</v>
      </c>
      <c r="G13" s="33">
        <v>2688</v>
      </c>
      <c r="H13" s="32">
        <v>3000</v>
      </c>
      <c r="I13" s="35"/>
      <c r="J13" s="37"/>
    </row>
    <row r="14" spans="2:10" x14ac:dyDescent="0.25">
      <c r="B14" s="30">
        <v>12</v>
      </c>
      <c r="C14" s="31" t="s">
        <v>19</v>
      </c>
      <c r="D14" s="32">
        <v>30064000</v>
      </c>
      <c r="E14" s="32">
        <v>1</v>
      </c>
      <c r="F14" s="32">
        <v>4490</v>
      </c>
      <c r="G14" s="33">
        <v>3864</v>
      </c>
      <c r="H14" s="32">
        <v>4100</v>
      </c>
      <c r="I14" s="38">
        <v>3743</v>
      </c>
      <c r="J14" s="39">
        <v>45897</v>
      </c>
    </row>
    <row r="15" spans="2:10" ht="24.75" x14ac:dyDescent="0.25">
      <c r="B15" s="30">
        <v>13</v>
      </c>
      <c r="C15" s="31" t="s">
        <v>74</v>
      </c>
      <c r="D15" s="32">
        <v>34070090</v>
      </c>
      <c r="E15" s="32">
        <v>1</v>
      </c>
      <c r="F15" s="32">
        <v>240</v>
      </c>
      <c r="G15" s="33">
        <v>196</v>
      </c>
      <c r="H15" s="32">
        <v>220</v>
      </c>
      <c r="I15" s="35"/>
      <c r="J15" s="37"/>
    </row>
    <row r="16" spans="2:10" ht="24.75" x14ac:dyDescent="0.25">
      <c r="B16" s="30">
        <v>14</v>
      </c>
      <c r="C16" s="31" t="s">
        <v>75</v>
      </c>
      <c r="D16" s="32">
        <v>34070090</v>
      </c>
      <c r="E16" s="32">
        <v>1</v>
      </c>
      <c r="F16" s="32">
        <v>570</v>
      </c>
      <c r="G16" s="33">
        <v>383.5</v>
      </c>
      <c r="H16" s="32">
        <v>490</v>
      </c>
      <c r="I16" s="35"/>
      <c r="J16" s="37"/>
    </row>
    <row r="17" spans="2:10" x14ac:dyDescent="0.25">
      <c r="B17" s="30">
        <v>15</v>
      </c>
      <c r="C17" s="31" t="s">
        <v>20</v>
      </c>
      <c r="D17" s="32">
        <v>34070090</v>
      </c>
      <c r="E17" s="32">
        <v>1</v>
      </c>
      <c r="F17" s="32">
        <v>575</v>
      </c>
      <c r="G17" s="33">
        <v>536.9</v>
      </c>
      <c r="H17" s="32">
        <v>550</v>
      </c>
      <c r="I17" s="35"/>
      <c r="J17" s="37"/>
    </row>
    <row r="18" spans="2:10" x14ac:dyDescent="0.25">
      <c r="B18" s="30">
        <v>16</v>
      </c>
      <c r="C18" s="31" t="s">
        <v>21</v>
      </c>
      <c r="D18" s="32">
        <v>34070090</v>
      </c>
      <c r="E18" s="32">
        <v>1</v>
      </c>
      <c r="F18" s="32">
        <v>220</v>
      </c>
      <c r="G18" s="33">
        <v>162.4</v>
      </c>
      <c r="H18" s="32">
        <v>199</v>
      </c>
      <c r="I18" s="35"/>
      <c r="J18" s="37"/>
    </row>
    <row r="19" spans="2:10" ht="24.75" x14ac:dyDescent="0.25">
      <c r="B19" s="30">
        <v>17</v>
      </c>
      <c r="C19" s="31" t="s">
        <v>76</v>
      </c>
      <c r="D19" s="32">
        <v>37011010</v>
      </c>
      <c r="E19" s="32">
        <v>1</v>
      </c>
      <c r="F19" s="32">
        <v>4525.25</v>
      </c>
      <c r="G19" s="33">
        <v>4425</v>
      </c>
      <c r="H19" s="32">
        <v>4500</v>
      </c>
      <c r="I19" s="35"/>
      <c r="J19" s="37"/>
    </row>
    <row r="20" spans="2:10" x14ac:dyDescent="0.25">
      <c r="B20" s="30">
        <v>18</v>
      </c>
      <c r="C20" s="31" t="s">
        <v>22</v>
      </c>
      <c r="D20" s="32">
        <v>90184900</v>
      </c>
      <c r="E20" s="32">
        <v>1</v>
      </c>
      <c r="F20" s="32">
        <v>375</v>
      </c>
      <c r="G20" s="33">
        <v>358.4</v>
      </c>
      <c r="H20" s="32">
        <v>370</v>
      </c>
      <c r="I20" s="35"/>
      <c r="J20" s="37"/>
    </row>
    <row r="21" spans="2:10" x14ac:dyDescent="0.25">
      <c r="B21" s="30">
        <v>19</v>
      </c>
      <c r="C21" s="31" t="s">
        <v>23</v>
      </c>
      <c r="D21" s="32">
        <v>34070090</v>
      </c>
      <c r="E21" s="32">
        <v>1</v>
      </c>
      <c r="F21" s="32">
        <v>175</v>
      </c>
      <c r="G21" s="33">
        <v>165.2</v>
      </c>
      <c r="H21" s="32">
        <v>170</v>
      </c>
      <c r="I21" s="35"/>
      <c r="J21" s="37"/>
    </row>
    <row r="22" spans="2:10" ht="24.75" x14ac:dyDescent="0.25">
      <c r="B22" s="30">
        <v>20</v>
      </c>
      <c r="C22" s="31" t="s">
        <v>24</v>
      </c>
      <c r="D22" s="32">
        <v>30064000</v>
      </c>
      <c r="E22" s="32">
        <v>1</v>
      </c>
      <c r="F22" s="32">
        <v>570</v>
      </c>
      <c r="G22" s="33">
        <v>537.6</v>
      </c>
      <c r="H22" s="32">
        <v>560</v>
      </c>
      <c r="I22" s="35"/>
      <c r="J22" s="37"/>
    </row>
    <row r="23" spans="2:10" x14ac:dyDescent="0.25">
      <c r="B23" s="30">
        <v>21</v>
      </c>
      <c r="C23" s="31" t="s">
        <v>25</v>
      </c>
      <c r="D23" s="32">
        <v>30064000</v>
      </c>
      <c r="E23" s="32">
        <v>1</v>
      </c>
      <c r="F23" s="32">
        <v>322</v>
      </c>
      <c r="G23" s="33">
        <v>224</v>
      </c>
      <c r="H23" s="32">
        <v>300</v>
      </c>
      <c r="I23" s="35"/>
      <c r="J23" s="37"/>
    </row>
    <row r="24" spans="2:10" ht="24.75" x14ac:dyDescent="0.25">
      <c r="B24" s="30">
        <v>22</v>
      </c>
      <c r="C24" s="31" t="s">
        <v>77</v>
      </c>
      <c r="D24" s="32">
        <v>48239090</v>
      </c>
      <c r="E24" s="32">
        <v>1</v>
      </c>
      <c r="F24" s="32">
        <v>550</v>
      </c>
      <c r="G24" s="33">
        <v>501.5</v>
      </c>
      <c r="H24" s="32">
        <v>540</v>
      </c>
      <c r="I24" s="35"/>
      <c r="J24" s="37"/>
    </row>
    <row r="25" spans="2:10" ht="18" customHeight="1" x14ac:dyDescent="0.25">
      <c r="B25" s="30">
        <v>23</v>
      </c>
      <c r="C25" s="31" t="s">
        <v>26</v>
      </c>
      <c r="D25" s="32">
        <v>30064000</v>
      </c>
      <c r="E25" s="32">
        <v>1</v>
      </c>
      <c r="F25" s="32">
        <v>1950</v>
      </c>
      <c r="G25" s="33">
        <v>1848</v>
      </c>
      <c r="H25" s="32">
        <v>1925</v>
      </c>
      <c r="I25" s="35"/>
      <c r="J25" s="37"/>
    </row>
    <row r="26" spans="2:10" x14ac:dyDescent="0.25">
      <c r="B26" s="30">
        <v>24</v>
      </c>
      <c r="C26" s="31" t="s">
        <v>27</v>
      </c>
      <c r="D26" s="32">
        <v>90184900</v>
      </c>
      <c r="E26" s="32">
        <v>1</v>
      </c>
      <c r="F26" s="32">
        <v>4580</v>
      </c>
      <c r="G26" s="33">
        <v>4323.2</v>
      </c>
      <c r="H26" s="32">
        <v>4500</v>
      </c>
      <c r="I26" s="35"/>
      <c r="J26" s="37"/>
    </row>
    <row r="27" spans="2:10" ht="24.75" x14ac:dyDescent="0.25">
      <c r="B27" s="30">
        <v>25</v>
      </c>
      <c r="C27" s="31" t="s">
        <v>78</v>
      </c>
      <c r="D27" s="32">
        <v>37011010</v>
      </c>
      <c r="E27" s="32">
        <v>1</v>
      </c>
      <c r="F27" s="32">
        <v>3795</v>
      </c>
      <c r="G27" s="33">
        <v>3795</v>
      </c>
      <c r="H27" s="32">
        <v>3795</v>
      </c>
      <c r="I27" s="35"/>
      <c r="J27" s="37"/>
    </row>
    <row r="28" spans="2:10" ht="24.75" x14ac:dyDescent="0.25">
      <c r="B28" s="30">
        <v>26</v>
      </c>
      <c r="C28" s="31" t="s">
        <v>79</v>
      </c>
      <c r="D28" s="32">
        <v>37011010</v>
      </c>
      <c r="E28" s="32">
        <v>1</v>
      </c>
      <c r="F28" s="32">
        <v>3892</v>
      </c>
      <c r="G28" s="33">
        <v>3769.92</v>
      </c>
      <c r="H28" s="32">
        <v>3850</v>
      </c>
      <c r="I28" s="35"/>
      <c r="J28" s="37"/>
    </row>
    <row r="29" spans="2:10" ht="24.75" x14ac:dyDescent="0.25">
      <c r="B29" s="30">
        <v>27</v>
      </c>
      <c r="C29" s="31" t="s">
        <v>28</v>
      </c>
      <c r="D29" s="32">
        <v>25201090</v>
      </c>
      <c r="E29" s="32">
        <v>1</v>
      </c>
      <c r="F29" s="32">
        <v>500</v>
      </c>
      <c r="G29" s="33">
        <v>367.5</v>
      </c>
      <c r="H29" s="32">
        <v>425</v>
      </c>
      <c r="I29" s="42" t="s">
        <v>119</v>
      </c>
      <c r="J29" s="37"/>
    </row>
    <row r="30" spans="2:10" x14ac:dyDescent="0.25">
      <c r="B30" s="30">
        <v>28</v>
      </c>
      <c r="C30" s="31" t="s">
        <v>29</v>
      </c>
      <c r="D30" s="32">
        <v>90184900</v>
      </c>
      <c r="E30" s="32">
        <v>1</v>
      </c>
      <c r="F30" s="32">
        <v>444</v>
      </c>
      <c r="G30" s="33">
        <v>364</v>
      </c>
      <c r="H30" s="32">
        <v>400</v>
      </c>
      <c r="I30" s="35"/>
      <c r="J30" s="37"/>
    </row>
    <row r="31" spans="2:10" ht="24.75" x14ac:dyDescent="0.25">
      <c r="B31" s="30">
        <v>29</v>
      </c>
      <c r="C31" s="31" t="s">
        <v>80</v>
      </c>
      <c r="D31" s="32">
        <v>30064000</v>
      </c>
      <c r="E31" s="32">
        <v>1</v>
      </c>
      <c r="F31" s="32">
        <v>200</v>
      </c>
      <c r="G31" s="33">
        <v>171.36</v>
      </c>
      <c r="H31" s="32">
        <v>195</v>
      </c>
      <c r="I31" s="35"/>
      <c r="J31" s="37"/>
    </row>
    <row r="32" spans="2:10" ht="24.75" x14ac:dyDescent="0.25">
      <c r="B32" s="30">
        <v>30</v>
      </c>
      <c r="C32" s="31" t="s">
        <v>81</v>
      </c>
      <c r="D32" s="32">
        <v>25201090</v>
      </c>
      <c r="E32" s="32">
        <v>1</v>
      </c>
      <c r="F32" s="32">
        <v>650</v>
      </c>
      <c r="G32" s="33">
        <v>585.9</v>
      </c>
      <c r="H32" s="32">
        <v>625</v>
      </c>
      <c r="I32" s="35"/>
      <c r="J32" s="37"/>
    </row>
    <row r="33" spans="2:10" x14ac:dyDescent="0.25">
      <c r="B33" s="30">
        <v>31</v>
      </c>
      <c r="C33" s="31" t="s">
        <v>30</v>
      </c>
      <c r="D33" s="32">
        <v>90184900</v>
      </c>
      <c r="E33" s="32">
        <v>1</v>
      </c>
      <c r="F33" s="32">
        <v>250</v>
      </c>
      <c r="G33" s="33">
        <v>196</v>
      </c>
      <c r="H33" s="32">
        <v>225</v>
      </c>
      <c r="I33" s="35"/>
      <c r="J33" s="37"/>
    </row>
    <row r="34" spans="2:10" ht="24.75" x14ac:dyDescent="0.25">
      <c r="B34" s="30">
        <v>32</v>
      </c>
      <c r="C34" s="31" t="s">
        <v>82</v>
      </c>
      <c r="D34" s="32">
        <v>90184900</v>
      </c>
      <c r="E34" s="32">
        <v>1</v>
      </c>
      <c r="F34" s="32">
        <v>405</v>
      </c>
      <c r="G34" s="33">
        <v>380.8</v>
      </c>
      <c r="H34" s="32">
        <v>400</v>
      </c>
      <c r="I34" s="35"/>
      <c r="J34" s="37"/>
    </row>
    <row r="35" spans="2:10" ht="24.75" x14ac:dyDescent="0.25">
      <c r="B35" s="30">
        <v>33</v>
      </c>
      <c r="C35" s="31" t="s">
        <v>83</v>
      </c>
      <c r="D35" s="32">
        <v>30064010</v>
      </c>
      <c r="E35" s="32">
        <v>1</v>
      </c>
      <c r="F35" s="32">
        <v>300</v>
      </c>
      <c r="G35" s="33">
        <v>257.60000000000002</v>
      </c>
      <c r="H35" s="32">
        <v>280</v>
      </c>
      <c r="I35" s="35"/>
      <c r="J35" s="37"/>
    </row>
    <row r="36" spans="2:10" ht="24.75" x14ac:dyDescent="0.25">
      <c r="B36" s="30">
        <v>34</v>
      </c>
      <c r="C36" s="31" t="s">
        <v>84</v>
      </c>
      <c r="D36" s="32">
        <v>30064010</v>
      </c>
      <c r="E36" s="32">
        <v>1</v>
      </c>
      <c r="F36" s="32">
        <v>300</v>
      </c>
      <c r="G36" s="33">
        <v>257.60000000000002</v>
      </c>
      <c r="H36" s="32">
        <v>280</v>
      </c>
      <c r="I36" s="35"/>
      <c r="J36" s="37"/>
    </row>
    <row r="37" spans="2:10" x14ac:dyDescent="0.25">
      <c r="B37" s="30">
        <v>35</v>
      </c>
      <c r="C37" s="31" t="s">
        <v>31</v>
      </c>
      <c r="D37" s="32">
        <v>30064000</v>
      </c>
      <c r="E37" s="32">
        <v>1</v>
      </c>
      <c r="F37" s="32">
        <v>16500</v>
      </c>
      <c r="G37" s="33">
        <v>14560</v>
      </c>
      <c r="H37" s="32">
        <v>16000</v>
      </c>
      <c r="I37" s="35"/>
      <c r="J37" s="37"/>
    </row>
    <row r="38" spans="2:10" x14ac:dyDescent="0.25">
      <c r="B38" s="30">
        <v>36</v>
      </c>
      <c r="C38" s="31" t="s">
        <v>85</v>
      </c>
      <c r="D38" s="32">
        <v>90184900</v>
      </c>
      <c r="E38" s="32">
        <v>1</v>
      </c>
      <c r="F38" s="32">
        <v>1000</v>
      </c>
      <c r="G38" s="33">
        <v>761.6</v>
      </c>
      <c r="H38" s="32">
        <v>850</v>
      </c>
      <c r="I38" s="35"/>
      <c r="J38" s="37"/>
    </row>
    <row r="39" spans="2:10" ht="24.75" x14ac:dyDescent="0.25">
      <c r="B39" s="30">
        <v>37</v>
      </c>
      <c r="C39" s="31" t="s">
        <v>86</v>
      </c>
      <c r="D39" s="32">
        <v>90184900</v>
      </c>
      <c r="E39" s="32">
        <v>1</v>
      </c>
      <c r="F39" s="32">
        <v>309</v>
      </c>
      <c r="G39" s="33">
        <v>280</v>
      </c>
      <c r="H39" s="32">
        <v>300</v>
      </c>
      <c r="I39" s="35"/>
      <c r="J39" s="37"/>
    </row>
    <row r="40" spans="2:10" ht="36.75" x14ac:dyDescent="0.25">
      <c r="B40" s="30">
        <v>38</v>
      </c>
      <c r="C40" s="31" t="s">
        <v>87</v>
      </c>
      <c r="D40" s="32">
        <v>90184900</v>
      </c>
      <c r="E40" s="32">
        <v>1</v>
      </c>
      <c r="F40" s="32">
        <v>309</v>
      </c>
      <c r="G40" s="33">
        <v>280</v>
      </c>
      <c r="H40" s="32">
        <v>300</v>
      </c>
      <c r="I40" s="35"/>
      <c r="J40" s="37"/>
    </row>
    <row r="41" spans="2:10" ht="24.75" x14ac:dyDescent="0.25">
      <c r="B41" s="30">
        <v>39</v>
      </c>
      <c r="C41" s="31" t="s">
        <v>88</v>
      </c>
      <c r="D41" s="32">
        <v>90184900</v>
      </c>
      <c r="E41" s="32">
        <v>1</v>
      </c>
      <c r="F41" s="32">
        <v>309</v>
      </c>
      <c r="G41" s="33">
        <v>280</v>
      </c>
      <c r="H41" s="32">
        <v>300</v>
      </c>
      <c r="I41" s="35"/>
      <c r="J41" s="37"/>
    </row>
    <row r="42" spans="2:10" ht="24.75" x14ac:dyDescent="0.25">
      <c r="B42" s="30">
        <v>40</v>
      </c>
      <c r="C42" s="31" t="s">
        <v>89</v>
      </c>
      <c r="D42" s="32">
        <v>90184900</v>
      </c>
      <c r="E42" s="32">
        <v>1</v>
      </c>
      <c r="F42" s="32">
        <v>309</v>
      </c>
      <c r="G42" s="33">
        <v>280</v>
      </c>
      <c r="H42" s="32">
        <v>300</v>
      </c>
      <c r="I42" s="35"/>
      <c r="J42" s="37"/>
    </row>
    <row r="43" spans="2:10" ht="24.75" x14ac:dyDescent="0.25">
      <c r="B43" s="30">
        <v>41</v>
      </c>
      <c r="C43" s="31" t="s">
        <v>90</v>
      </c>
      <c r="D43" s="32">
        <v>90184900</v>
      </c>
      <c r="E43" s="32">
        <v>1</v>
      </c>
      <c r="F43" s="32">
        <v>4555</v>
      </c>
      <c r="G43" s="33">
        <v>3998.4</v>
      </c>
      <c r="H43" s="32">
        <v>4400</v>
      </c>
      <c r="I43" s="35"/>
      <c r="J43" s="37"/>
    </row>
    <row r="44" spans="2:10" ht="24.75" x14ac:dyDescent="0.25">
      <c r="B44" s="30">
        <v>42</v>
      </c>
      <c r="C44" s="31" t="s">
        <v>91</v>
      </c>
      <c r="D44" s="32">
        <v>90184900</v>
      </c>
      <c r="E44" s="32">
        <v>1</v>
      </c>
      <c r="F44" s="32">
        <v>4555</v>
      </c>
      <c r="G44" s="33">
        <v>3998.4</v>
      </c>
      <c r="H44" s="32">
        <v>4400</v>
      </c>
      <c r="I44" s="35"/>
      <c r="J44" s="37"/>
    </row>
    <row r="45" spans="2:10" x14ac:dyDescent="0.25">
      <c r="B45" s="30">
        <v>43</v>
      </c>
      <c r="C45" s="31" t="s">
        <v>92</v>
      </c>
      <c r="D45" s="32">
        <v>34070090</v>
      </c>
      <c r="E45" s="32">
        <v>1</v>
      </c>
      <c r="F45" s="32">
        <v>225</v>
      </c>
      <c r="G45" s="33">
        <v>212.4</v>
      </c>
      <c r="H45" s="32">
        <v>220</v>
      </c>
      <c r="I45" s="35"/>
      <c r="J45" s="37"/>
    </row>
    <row r="46" spans="2:10" ht="24.75" x14ac:dyDescent="0.25">
      <c r="B46" s="30">
        <v>44</v>
      </c>
      <c r="C46" s="31" t="s">
        <v>93</v>
      </c>
      <c r="D46" s="32">
        <v>30064000</v>
      </c>
      <c r="E46" s="32">
        <v>1</v>
      </c>
      <c r="F46" s="32">
        <v>410</v>
      </c>
      <c r="G46" s="33">
        <v>392</v>
      </c>
      <c r="H46" s="32">
        <v>400</v>
      </c>
      <c r="I46" s="35"/>
      <c r="J46" s="37"/>
    </row>
    <row r="47" spans="2:10" x14ac:dyDescent="0.25">
      <c r="B47" s="30">
        <v>45</v>
      </c>
      <c r="C47" s="31" t="s">
        <v>94</v>
      </c>
      <c r="D47" s="32">
        <v>30059090</v>
      </c>
      <c r="E47" s="32">
        <v>1</v>
      </c>
      <c r="F47" s="32">
        <v>740</v>
      </c>
      <c r="G47" s="33">
        <v>504</v>
      </c>
      <c r="H47" s="32">
        <v>600</v>
      </c>
      <c r="I47" s="35"/>
      <c r="J47" s="37"/>
    </row>
    <row r="48" spans="2:10" ht="24.75" x14ac:dyDescent="0.25">
      <c r="B48" s="30">
        <v>46</v>
      </c>
      <c r="C48" s="31" t="s">
        <v>95</v>
      </c>
      <c r="D48" s="32">
        <v>90184900</v>
      </c>
      <c r="E48" s="32">
        <v>1</v>
      </c>
      <c r="F48" s="32">
        <v>800</v>
      </c>
      <c r="G48" s="33">
        <v>685.44</v>
      </c>
      <c r="H48" s="32">
        <v>750</v>
      </c>
      <c r="I48" s="35"/>
      <c r="J48" s="37"/>
    </row>
    <row r="49" spans="2:10" ht="24.75" x14ac:dyDescent="0.25">
      <c r="B49" s="30">
        <v>47</v>
      </c>
      <c r="C49" s="31" t="s">
        <v>96</v>
      </c>
      <c r="D49" s="32">
        <v>90184900</v>
      </c>
      <c r="E49" s="32">
        <v>1</v>
      </c>
      <c r="F49" s="32">
        <v>800</v>
      </c>
      <c r="G49" s="33">
        <v>685.44</v>
      </c>
      <c r="H49" s="32">
        <v>750</v>
      </c>
      <c r="I49" s="35"/>
      <c r="J49" s="37"/>
    </row>
    <row r="50" spans="2:10" ht="24.75" x14ac:dyDescent="0.25">
      <c r="B50" s="30">
        <v>48</v>
      </c>
      <c r="C50" s="31" t="s">
        <v>32</v>
      </c>
      <c r="D50" s="32">
        <v>30064000</v>
      </c>
      <c r="E50" s="32">
        <v>1</v>
      </c>
      <c r="F50" s="32">
        <v>74</v>
      </c>
      <c r="G50" s="33">
        <v>72.8</v>
      </c>
      <c r="H50" s="32">
        <v>74</v>
      </c>
      <c r="I50" s="35"/>
      <c r="J50" s="37"/>
    </row>
    <row r="51" spans="2:10" x14ac:dyDescent="0.25">
      <c r="B51" s="30">
        <v>49</v>
      </c>
      <c r="C51" s="31" t="s">
        <v>33</v>
      </c>
      <c r="D51" s="32">
        <v>30059090</v>
      </c>
      <c r="E51" s="32">
        <v>1</v>
      </c>
      <c r="F51" s="32">
        <v>700</v>
      </c>
      <c r="G51" s="33">
        <v>616</v>
      </c>
      <c r="H51" s="32">
        <v>650</v>
      </c>
      <c r="I51" s="35"/>
      <c r="J51" s="37"/>
    </row>
    <row r="52" spans="2:10" ht="15.75" customHeight="1" x14ac:dyDescent="0.25">
      <c r="B52" s="30">
        <v>50</v>
      </c>
      <c r="C52" s="31" t="s">
        <v>34</v>
      </c>
      <c r="D52" s="32">
        <v>28470000</v>
      </c>
      <c r="E52" s="32">
        <v>1</v>
      </c>
      <c r="F52" s="32">
        <v>100</v>
      </c>
      <c r="G52" s="33">
        <v>84</v>
      </c>
      <c r="H52" s="32">
        <v>95</v>
      </c>
      <c r="I52" s="35"/>
      <c r="J52" s="37"/>
    </row>
    <row r="53" spans="2:10" ht="24.75" x14ac:dyDescent="0.25">
      <c r="B53" s="30">
        <v>51</v>
      </c>
      <c r="C53" s="31" t="s">
        <v>97</v>
      </c>
      <c r="D53" s="32">
        <v>40151900</v>
      </c>
      <c r="E53" s="32">
        <v>1</v>
      </c>
      <c r="F53" s="32">
        <v>999</v>
      </c>
      <c r="G53" s="33">
        <v>280</v>
      </c>
      <c r="H53" s="32">
        <v>375</v>
      </c>
      <c r="I53" s="35"/>
      <c r="J53" s="37"/>
    </row>
    <row r="54" spans="2:10" ht="24.75" x14ac:dyDescent="0.25">
      <c r="B54" s="30">
        <v>52</v>
      </c>
      <c r="C54" s="31" t="s">
        <v>98</v>
      </c>
      <c r="D54" s="32">
        <v>40151900</v>
      </c>
      <c r="E54" s="32">
        <v>1</v>
      </c>
      <c r="F54" s="32">
        <v>990</v>
      </c>
      <c r="G54" s="33">
        <v>302.39999999999998</v>
      </c>
      <c r="H54" s="32">
        <v>475</v>
      </c>
      <c r="I54" s="35"/>
      <c r="J54" s="37"/>
    </row>
    <row r="57" spans="2:10" x14ac:dyDescent="0.25">
      <c r="B57" s="3" t="s">
        <v>4</v>
      </c>
      <c r="C57" s="1" t="s">
        <v>5</v>
      </c>
      <c r="D57" s="3" t="s">
        <v>2</v>
      </c>
      <c r="E57" s="10" t="s">
        <v>40</v>
      </c>
    </row>
    <row r="58" spans="2:10" x14ac:dyDescent="0.25">
      <c r="B58" s="3">
        <v>53</v>
      </c>
      <c r="C58" s="1" t="s">
        <v>59</v>
      </c>
      <c r="D58" s="10">
        <v>20</v>
      </c>
      <c r="E58" s="13">
        <v>700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8"/>
  <sheetViews>
    <sheetView topLeftCell="Q1" workbookViewId="0">
      <selection activeCell="A50" sqref="A50"/>
    </sheetView>
  </sheetViews>
  <sheetFormatPr defaultRowHeight="15" x14ac:dyDescent="0.25"/>
  <cols>
    <col min="2" max="2" width="5.42578125" style="11" bestFit="1" customWidth="1"/>
    <col min="3" max="3" width="55.5703125" customWidth="1"/>
    <col min="4" max="4" width="4" hidden="1" customWidth="1"/>
    <col min="5" max="5" width="10.140625" customWidth="1"/>
    <col min="6" max="6" width="2.42578125" style="11" customWidth="1"/>
    <col min="7" max="7" width="8" hidden="1" customWidth="1"/>
    <col min="8" max="8" width="15.28515625" style="11" hidden="1" customWidth="1"/>
    <col min="9" max="9" width="8.85546875" style="11" hidden="1" customWidth="1"/>
    <col min="10" max="10" width="18.140625" style="11" hidden="1" customWidth="1"/>
    <col min="11" max="11" width="2.28515625" customWidth="1"/>
    <col min="12" max="12" width="1.7109375" customWidth="1"/>
    <col min="13" max="13" width="18.85546875" customWidth="1"/>
    <col min="14" max="14" width="16.85546875" customWidth="1"/>
    <col min="15" max="15" width="19.140625" bestFit="1" customWidth="1"/>
    <col min="16" max="16" width="22" bestFit="1" customWidth="1"/>
    <col min="17" max="17" width="25.7109375" bestFit="1" customWidth="1"/>
    <col min="18" max="18" width="31.5703125" bestFit="1" customWidth="1"/>
  </cols>
  <sheetData>
    <row r="2" spans="2:19" x14ac:dyDescent="0.25">
      <c r="B2" s="70" t="s">
        <v>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4" spans="2:19" x14ac:dyDescent="0.25">
      <c r="B4" s="71" t="s">
        <v>4</v>
      </c>
      <c r="C4" s="71" t="s">
        <v>5</v>
      </c>
      <c r="D4" s="71" t="s">
        <v>3</v>
      </c>
      <c r="E4" s="71" t="s">
        <v>2</v>
      </c>
      <c r="F4" s="71" t="s">
        <v>55</v>
      </c>
      <c r="G4" s="71" t="s">
        <v>40</v>
      </c>
      <c r="H4" s="73" t="s">
        <v>56</v>
      </c>
      <c r="I4" s="74" t="s">
        <v>12</v>
      </c>
      <c r="J4" s="72" t="s">
        <v>42</v>
      </c>
      <c r="K4" s="72" t="s">
        <v>10</v>
      </c>
      <c r="L4" s="72" t="s">
        <v>38</v>
      </c>
      <c r="M4" s="71" t="s">
        <v>6</v>
      </c>
      <c r="N4" s="72" t="s">
        <v>39</v>
      </c>
      <c r="O4" s="71" t="s">
        <v>7</v>
      </c>
      <c r="P4" s="71" t="s">
        <v>9</v>
      </c>
      <c r="Q4" s="71" t="s">
        <v>121</v>
      </c>
      <c r="R4" s="71" t="s">
        <v>122</v>
      </c>
      <c r="S4" s="6"/>
    </row>
    <row r="5" spans="2:19" x14ac:dyDescent="0.25">
      <c r="B5" s="71"/>
      <c r="C5" s="71"/>
      <c r="D5" s="71"/>
      <c r="E5" s="71"/>
      <c r="F5" s="71"/>
      <c r="G5" s="71"/>
      <c r="H5" s="73"/>
      <c r="I5" s="74"/>
      <c r="J5" s="72"/>
      <c r="K5" s="72"/>
      <c r="L5" s="72"/>
      <c r="M5" s="71"/>
      <c r="N5" s="72"/>
      <c r="O5" s="71"/>
      <c r="P5" s="71"/>
      <c r="Q5" s="71"/>
      <c r="R5" s="71"/>
    </row>
    <row r="6" spans="2:19" ht="30" x14ac:dyDescent="0.25">
      <c r="B6" s="18">
        <v>1</v>
      </c>
      <c r="C6" s="25" t="s">
        <v>19</v>
      </c>
      <c r="D6" s="18">
        <v>30064000</v>
      </c>
      <c r="E6" s="20">
        <v>1</v>
      </c>
      <c r="F6" s="21">
        <v>3342</v>
      </c>
      <c r="G6" s="18">
        <f>(E6*F6)</f>
        <v>3342</v>
      </c>
      <c r="H6" s="17">
        <v>0.12</v>
      </c>
      <c r="I6" s="18">
        <v>401.04</v>
      </c>
      <c r="J6" s="18">
        <f>(G6+I6)</f>
        <v>3743.04</v>
      </c>
      <c r="K6" s="22" t="s">
        <v>51</v>
      </c>
      <c r="L6" s="18" t="s">
        <v>53</v>
      </c>
      <c r="M6" s="23">
        <v>45897</v>
      </c>
      <c r="N6" s="23">
        <v>45898</v>
      </c>
      <c r="O6" s="23">
        <v>45897</v>
      </c>
      <c r="P6" s="18" t="s">
        <v>52</v>
      </c>
      <c r="Q6" s="18"/>
      <c r="R6" s="18" t="s">
        <v>115</v>
      </c>
    </row>
    <row r="7" spans="2:19" ht="30" x14ac:dyDescent="0.25">
      <c r="B7" s="18">
        <v>2</v>
      </c>
      <c r="C7" s="24" t="s">
        <v>57</v>
      </c>
      <c r="D7" s="3">
        <v>30064010</v>
      </c>
      <c r="E7" s="20">
        <v>1</v>
      </c>
      <c r="F7" s="18"/>
      <c r="G7" s="18"/>
      <c r="H7" s="17"/>
      <c r="I7" s="18"/>
      <c r="J7" s="18"/>
      <c r="K7" s="22" t="s">
        <v>51</v>
      </c>
      <c r="L7" s="18"/>
      <c r="M7" s="23">
        <v>45898</v>
      </c>
      <c r="N7" s="23">
        <v>45899</v>
      </c>
      <c r="O7" s="18" t="s">
        <v>54</v>
      </c>
      <c r="P7" s="18" t="s">
        <v>63</v>
      </c>
      <c r="Q7" s="18"/>
      <c r="R7" s="18" t="s">
        <v>63</v>
      </c>
    </row>
    <row r="8" spans="2:19" x14ac:dyDescent="0.25">
      <c r="B8" s="11">
        <v>3</v>
      </c>
      <c r="C8" s="1" t="s">
        <v>58</v>
      </c>
      <c r="D8" s="3"/>
      <c r="E8" s="20">
        <v>1</v>
      </c>
      <c r="F8" s="11" t="s">
        <v>120</v>
      </c>
      <c r="G8" s="18"/>
      <c r="H8" s="17"/>
      <c r="J8" s="11" t="s">
        <v>120</v>
      </c>
      <c r="K8" s="11" t="s">
        <v>60</v>
      </c>
      <c r="L8" s="11" t="s">
        <v>61</v>
      </c>
      <c r="M8" s="19">
        <v>45901</v>
      </c>
      <c r="N8" s="4"/>
      <c r="O8" s="19">
        <v>45901</v>
      </c>
      <c r="R8" s="18" t="s">
        <v>62</v>
      </c>
    </row>
    <row r="9" spans="2:19" x14ac:dyDescent="0.25">
      <c r="B9" s="11">
        <v>4</v>
      </c>
      <c r="C9" s="1" t="s">
        <v>59</v>
      </c>
      <c r="D9" s="3"/>
      <c r="E9" s="13">
        <v>10</v>
      </c>
      <c r="G9" s="18">
        <v>325.7</v>
      </c>
      <c r="H9" s="44">
        <v>0.12</v>
      </c>
      <c r="I9" s="11">
        <v>39.084000000000003</v>
      </c>
      <c r="J9" s="11">
        <v>364.78399999999999</v>
      </c>
      <c r="K9" s="11" t="s">
        <v>60</v>
      </c>
      <c r="L9" s="11" t="s">
        <v>61</v>
      </c>
      <c r="M9" s="19">
        <v>45901</v>
      </c>
      <c r="O9" s="19">
        <v>45901</v>
      </c>
      <c r="R9" s="18" t="s">
        <v>62</v>
      </c>
    </row>
    <row r="10" spans="2:19" ht="30" x14ac:dyDescent="0.25">
      <c r="B10" s="11">
        <v>5</v>
      </c>
      <c r="C10" s="1" t="s">
        <v>99</v>
      </c>
      <c r="D10" s="3"/>
      <c r="E10" s="13"/>
      <c r="G10" s="18"/>
      <c r="H10" s="44"/>
      <c r="I10" s="43"/>
      <c r="K10" s="4" t="s">
        <v>51</v>
      </c>
      <c r="L10" s="11" t="s">
        <v>61</v>
      </c>
      <c r="M10" s="19">
        <v>45902</v>
      </c>
      <c r="N10" s="19">
        <v>45906</v>
      </c>
      <c r="O10" t="s">
        <v>116</v>
      </c>
      <c r="P10" t="s">
        <v>117</v>
      </c>
      <c r="R10" s="41" t="s">
        <v>118</v>
      </c>
    </row>
    <row r="11" spans="2:19" x14ac:dyDescent="0.25">
      <c r="C11" s="40" t="s">
        <v>100</v>
      </c>
    </row>
    <row r="12" spans="2:19" x14ac:dyDescent="0.25">
      <c r="C12" s="1" t="s">
        <v>101</v>
      </c>
    </row>
    <row r="13" spans="2:19" x14ac:dyDescent="0.25">
      <c r="C13" s="1" t="s">
        <v>102</v>
      </c>
    </row>
    <row r="14" spans="2:19" x14ac:dyDescent="0.25">
      <c r="C14" s="1" t="s">
        <v>104</v>
      </c>
    </row>
    <row r="15" spans="2:19" x14ac:dyDescent="0.25">
      <c r="C15" s="1" t="s">
        <v>103</v>
      </c>
    </row>
    <row r="16" spans="2:19" x14ac:dyDescent="0.25">
      <c r="C16" s="1" t="s">
        <v>105</v>
      </c>
    </row>
    <row r="17" spans="2:14" x14ac:dyDescent="0.25">
      <c r="C17" s="1" t="s">
        <v>106</v>
      </c>
      <c r="E17" s="6"/>
      <c r="F17" s="26"/>
      <c r="K17" s="6"/>
      <c r="L17" s="6"/>
    </row>
    <row r="18" spans="2:14" x14ac:dyDescent="0.25">
      <c r="C18" s="1" t="s">
        <v>107</v>
      </c>
    </row>
    <row r="19" spans="2:14" x14ac:dyDescent="0.25">
      <c r="C19" s="1" t="s">
        <v>108</v>
      </c>
      <c r="G19" s="6"/>
      <c r="H19" s="26"/>
      <c r="I19" s="26"/>
      <c r="J19" s="26"/>
    </row>
    <row r="20" spans="2:14" x14ac:dyDescent="0.25">
      <c r="C20" s="1" t="s">
        <v>109</v>
      </c>
    </row>
    <row r="21" spans="2:14" x14ac:dyDescent="0.25">
      <c r="C21" s="1" t="s">
        <v>110</v>
      </c>
    </row>
    <row r="22" spans="2:14" x14ac:dyDescent="0.25">
      <c r="C22" s="1" t="s">
        <v>111</v>
      </c>
    </row>
    <row r="23" spans="2:14" x14ac:dyDescent="0.25">
      <c r="C23" s="1" t="s">
        <v>112</v>
      </c>
    </row>
    <row r="24" spans="2:14" x14ac:dyDescent="0.25">
      <c r="C24" s="1" t="s">
        <v>113</v>
      </c>
    </row>
    <row r="25" spans="2:14" x14ac:dyDescent="0.25">
      <c r="C25" s="1" t="s">
        <v>114</v>
      </c>
    </row>
    <row r="26" spans="2:14" x14ac:dyDescent="0.25">
      <c r="B26" s="11">
        <v>6</v>
      </c>
      <c r="C26" s="1" t="s">
        <v>144</v>
      </c>
      <c r="M26" s="48">
        <v>45903</v>
      </c>
      <c r="N26" s="48">
        <v>45908</v>
      </c>
    </row>
    <row r="27" spans="2:14" x14ac:dyDescent="0.25">
      <c r="C27" s="1" t="s">
        <v>145</v>
      </c>
    </row>
    <row r="28" spans="2:14" x14ac:dyDescent="0.25">
      <c r="C28" s="1" t="s">
        <v>146</v>
      </c>
    </row>
    <row r="29" spans="2:14" x14ac:dyDescent="0.25">
      <c r="C29" s="1" t="s">
        <v>147</v>
      </c>
    </row>
    <row r="30" spans="2:14" x14ac:dyDescent="0.25">
      <c r="C30" s="1" t="s">
        <v>148</v>
      </c>
    </row>
    <row r="31" spans="2:14" x14ac:dyDescent="0.25">
      <c r="C31" s="1" t="s">
        <v>149</v>
      </c>
    </row>
    <row r="32" spans="2:14" x14ac:dyDescent="0.25">
      <c r="B32" s="11">
        <v>7</v>
      </c>
      <c r="C32" s="1" t="s">
        <v>150</v>
      </c>
      <c r="M32" s="48">
        <v>45908</v>
      </c>
    </row>
    <row r="33" spans="2:14" x14ac:dyDescent="0.25">
      <c r="C33" s="1" t="s">
        <v>151</v>
      </c>
    </row>
    <row r="34" spans="2:14" x14ac:dyDescent="0.25">
      <c r="C34" s="1" t="s">
        <v>149</v>
      </c>
    </row>
    <row r="35" spans="2:14" x14ac:dyDescent="0.25">
      <c r="B35" s="11">
        <v>8</v>
      </c>
      <c r="C35" s="1" t="s">
        <v>152</v>
      </c>
      <c r="M35" s="48">
        <v>45908</v>
      </c>
      <c r="N35" t="s">
        <v>154</v>
      </c>
    </row>
    <row r="36" spans="2:14" x14ac:dyDescent="0.25">
      <c r="C36" s="1" t="s">
        <v>153</v>
      </c>
    </row>
    <row r="37" spans="2:14" x14ac:dyDescent="0.25">
      <c r="B37" s="11">
        <v>9</v>
      </c>
      <c r="C37" s="1" t="s">
        <v>59</v>
      </c>
      <c r="E37" t="s">
        <v>159</v>
      </c>
      <c r="M37" s="48">
        <v>45909</v>
      </c>
      <c r="N37" t="s">
        <v>158</v>
      </c>
    </row>
    <row r="38" spans="2:14" x14ac:dyDescent="0.25">
      <c r="C38" s="1" t="s">
        <v>155</v>
      </c>
      <c r="N38" s="48">
        <v>45910</v>
      </c>
    </row>
    <row r="39" spans="2:14" x14ac:dyDescent="0.25">
      <c r="C39" s="1" t="s">
        <v>156</v>
      </c>
    </row>
    <row r="40" spans="2:14" x14ac:dyDescent="0.25">
      <c r="C40" s="1" t="s">
        <v>157</v>
      </c>
    </row>
    <row r="41" spans="2:14" x14ac:dyDescent="0.25">
      <c r="B41" s="11">
        <v>10</v>
      </c>
      <c r="C41" s="1" t="s">
        <v>160</v>
      </c>
      <c r="N41" s="48">
        <v>45910</v>
      </c>
    </row>
    <row r="42" spans="2:14" x14ac:dyDescent="0.25">
      <c r="C42" s="1" t="s">
        <v>161</v>
      </c>
    </row>
    <row r="43" spans="2:14" x14ac:dyDescent="0.25">
      <c r="C43" s="1" t="s">
        <v>162</v>
      </c>
    </row>
    <row r="44" spans="2:14" x14ac:dyDescent="0.25">
      <c r="C44" s="1" t="s">
        <v>163</v>
      </c>
    </row>
    <row r="45" spans="2:14" x14ac:dyDescent="0.25">
      <c r="C45" s="1" t="s">
        <v>164</v>
      </c>
    </row>
    <row r="46" spans="2:14" x14ac:dyDescent="0.25">
      <c r="C46" s="1" t="s">
        <v>165</v>
      </c>
    </row>
    <row r="47" spans="2:14" x14ac:dyDescent="0.25">
      <c r="B47" s="11">
        <v>11</v>
      </c>
      <c r="C47" s="1" t="s">
        <v>160</v>
      </c>
      <c r="M47" s="48">
        <v>45912</v>
      </c>
    </row>
    <row r="48" spans="2:14" x14ac:dyDescent="0.25">
      <c r="C48" s="1" t="s">
        <v>166</v>
      </c>
    </row>
  </sheetData>
  <mergeCells count="18">
    <mergeCell ref="O4:O5"/>
    <mergeCell ref="P4:P5"/>
    <mergeCell ref="R4:R5"/>
    <mergeCell ref="G4:G5"/>
    <mergeCell ref="J4:J5"/>
    <mergeCell ref="Q4:Q5"/>
    <mergeCell ref="B2:N2"/>
    <mergeCell ref="F4:F5"/>
    <mergeCell ref="E4:E5"/>
    <mergeCell ref="D4:D5"/>
    <mergeCell ref="C4:C5"/>
    <mergeCell ref="B4:B5"/>
    <mergeCell ref="K4:K5"/>
    <mergeCell ref="L4:L5"/>
    <mergeCell ref="M4:M5"/>
    <mergeCell ref="N4:N5"/>
    <mergeCell ref="H4:H5"/>
    <mergeCell ref="I4:I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9"/>
  <sheetViews>
    <sheetView topLeftCell="D1" workbookViewId="0">
      <selection activeCell="F4" sqref="F4"/>
    </sheetView>
  </sheetViews>
  <sheetFormatPr defaultRowHeight="15" x14ac:dyDescent="0.25"/>
  <cols>
    <col min="2" max="2" width="5.7109375" style="11" customWidth="1"/>
    <col min="3" max="3" width="20" bestFit="1" customWidth="1"/>
    <col min="4" max="4" width="29.42578125" bestFit="1" customWidth="1"/>
    <col min="5" max="5" width="4.140625" style="11" bestFit="1" customWidth="1"/>
    <col min="6" max="6" width="17.42578125" style="11" bestFit="1" customWidth="1"/>
    <col min="7" max="7" width="28.140625" bestFit="1" customWidth="1"/>
    <col min="9" max="9" width="6.42578125" style="11" customWidth="1"/>
    <col min="10" max="10" width="16.85546875" customWidth="1"/>
    <col min="11" max="11" width="23" customWidth="1"/>
    <col min="12" max="12" width="6.85546875" style="11" customWidth="1"/>
    <col min="13" max="13" width="17.42578125" style="11" bestFit="1" customWidth="1"/>
    <col min="14" max="14" width="10.42578125" bestFit="1" customWidth="1"/>
    <col min="16" max="16" width="6" style="11" customWidth="1"/>
    <col min="17" max="17" width="19.7109375" customWidth="1"/>
    <col min="18" max="18" width="23.42578125" customWidth="1"/>
    <col min="19" max="19" width="7.5703125" customWidth="1"/>
    <col min="20" max="20" width="17.42578125" bestFit="1" customWidth="1"/>
    <col min="21" max="21" width="10.42578125" bestFit="1" customWidth="1"/>
  </cols>
  <sheetData>
    <row r="2" spans="2:21" x14ac:dyDescent="0.25">
      <c r="B2" s="75" t="s">
        <v>126</v>
      </c>
      <c r="C2" s="75"/>
      <c r="D2" s="75"/>
      <c r="I2" s="75" t="s">
        <v>135</v>
      </c>
      <c r="J2" s="75"/>
      <c r="K2" s="75"/>
      <c r="P2" s="75" t="s">
        <v>136</v>
      </c>
      <c r="Q2" s="75"/>
      <c r="R2" s="75"/>
      <c r="S2" s="11"/>
      <c r="T2" s="11"/>
    </row>
    <row r="3" spans="2:21" x14ac:dyDescent="0.25">
      <c r="B3" s="11" t="s">
        <v>0</v>
      </c>
      <c r="C3" t="s">
        <v>125</v>
      </c>
      <c r="D3" t="s">
        <v>138</v>
      </c>
      <c r="E3" s="11" t="s">
        <v>2</v>
      </c>
      <c r="F3" s="11" t="s">
        <v>127</v>
      </c>
      <c r="G3" s="11" t="s">
        <v>50</v>
      </c>
      <c r="I3" s="11" t="s">
        <v>0</v>
      </c>
      <c r="J3" t="s">
        <v>125</v>
      </c>
      <c r="K3" t="s">
        <v>124</v>
      </c>
      <c r="L3" s="11" t="s">
        <v>2</v>
      </c>
      <c r="M3" s="11" t="s">
        <v>127</v>
      </c>
      <c r="N3" s="11" t="s">
        <v>50</v>
      </c>
      <c r="P3" s="11" t="s">
        <v>0</v>
      </c>
      <c r="Q3" t="s">
        <v>125</v>
      </c>
      <c r="R3" t="s">
        <v>124</v>
      </c>
      <c r="S3" s="11" t="s">
        <v>2</v>
      </c>
      <c r="T3" s="11" t="s">
        <v>127</v>
      </c>
      <c r="U3" s="11" t="s">
        <v>50</v>
      </c>
    </row>
    <row r="4" spans="2:21" x14ac:dyDescent="0.25">
      <c r="B4" s="11">
        <v>1</v>
      </c>
      <c r="C4" t="s">
        <v>128</v>
      </c>
      <c r="D4" t="s">
        <v>132</v>
      </c>
      <c r="E4" s="11">
        <v>1</v>
      </c>
      <c r="G4" t="s">
        <v>131</v>
      </c>
      <c r="I4" s="11">
        <v>1</v>
      </c>
      <c r="K4" t="s">
        <v>137</v>
      </c>
      <c r="L4" s="11">
        <v>1</v>
      </c>
      <c r="M4" s="11">
        <v>3740</v>
      </c>
      <c r="N4" s="48">
        <v>45898</v>
      </c>
      <c r="P4" s="11">
        <v>1</v>
      </c>
      <c r="R4" t="s">
        <v>137</v>
      </c>
      <c r="S4" s="11">
        <v>1</v>
      </c>
      <c r="T4" s="11">
        <v>3740</v>
      </c>
      <c r="U4" s="48">
        <v>45898</v>
      </c>
    </row>
    <row r="5" spans="2:21" x14ac:dyDescent="0.25">
      <c r="D5" t="s">
        <v>134</v>
      </c>
      <c r="E5" s="11">
        <v>10</v>
      </c>
      <c r="I5" s="11">
        <v>2</v>
      </c>
      <c r="K5" t="s">
        <v>139</v>
      </c>
      <c r="L5" s="11">
        <v>1</v>
      </c>
      <c r="M5" s="11">
        <v>2000</v>
      </c>
      <c r="N5" s="48">
        <v>45908</v>
      </c>
      <c r="P5" s="11">
        <v>2</v>
      </c>
      <c r="R5" t="s">
        <v>139</v>
      </c>
      <c r="S5" s="11">
        <v>1</v>
      </c>
      <c r="T5" s="11">
        <v>2000</v>
      </c>
      <c r="U5" s="48">
        <v>45908</v>
      </c>
    </row>
    <row r="6" spans="2:21" x14ac:dyDescent="0.25">
      <c r="B6" s="11">
        <v>2</v>
      </c>
      <c r="C6" t="s">
        <v>129</v>
      </c>
      <c r="D6" t="s">
        <v>133</v>
      </c>
      <c r="E6" s="11">
        <v>20</v>
      </c>
      <c r="F6" s="11">
        <v>700</v>
      </c>
      <c r="G6" s="49" t="s">
        <v>130</v>
      </c>
      <c r="I6" s="11">
        <v>3</v>
      </c>
      <c r="K6" t="s">
        <v>140</v>
      </c>
      <c r="L6" s="11">
        <v>2</v>
      </c>
      <c r="M6" s="11">
        <v>500</v>
      </c>
      <c r="N6" s="48">
        <v>45908</v>
      </c>
      <c r="P6" s="11">
        <v>3</v>
      </c>
      <c r="R6" t="s">
        <v>140</v>
      </c>
      <c r="S6" s="11">
        <v>2</v>
      </c>
      <c r="T6" s="11">
        <v>500</v>
      </c>
      <c r="U6" s="48">
        <v>45908</v>
      </c>
    </row>
    <row r="7" spans="2:21" x14ac:dyDescent="0.25">
      <c r="I7" s="11">
        <v>4</v>
      </c>
      <c r="K7" t="s">
        <v>141</v>
      </c>
      <c r="L7" s="11">
        <v>2</v>
      </c>
      <c r="M7" s="11">
        <v>370</v>
      </c>
      <c r="N7" s="48">
        <v>45908</v>
      </c>
      <c r="P7" s="11">
        <v>4</v>
      </c>
      <c r="R7" t="s">
        <v>143</v>
      </c>
      <c r="S7" s="11">
        <v>2</v>
      </c>
      <c r="T7" s="11">
        <v>370</v>
      </c>
      <c r="U7" s="48">
        <v>45908</v>
      </c>
    </row>
    <row r="8" spans="2:21" x14ac:dyDescent="0.25">
      <c r="I8" s="11">
        <v>5</v>
      </c>
      <c r="K8" t="s">
        <v>142</v>
      </c>
      <c r="L8" s="11">
        <v>20</v>
      </c>
      <c r="M8" s="11">
        <v>740</v>
      </c>
      <c r="N8" s="48">
        <v>45909</v>
      </c>
      <c r="P8" s="11">
        <v>5</v>
      </c>
      <c r="R8" t="s">
        <v>142</v>
      </c>
      <c r="S8" s="11">
        <v>20</v>
      </c>
      <c r="T8" s="11">
        <v>740</v>
      </c>
      <c r="U8" s="48">
        <v>45909</v>
      </c>
    </row>
    <row r="9" spans="2:21" x14ac:dyDescent="0.25">
      <c r="M9" s="11">
        <f>SUM(M4:M8)</f>
        <v>7350</v>
      </c>
      <c r="S9" s="11"/>
      <c r="T9" s="11">
        <f>SUM(T4:T8)</f>
        <v>7350</v>
      </c>
    </row>
  </sheetData>
  <mergeCells count="3">
    <mergeCell ref="P2:R2"/>
    <mergeCell ref="I2:K2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5"/>
  <sheetViews>
    <sheetView topLeftCell="A7" zoomScale="70" zoomScaleNormal="70" workbookViewId="0">
      <selection activeCell="I13" sqref="I13:I16"/>
    </sheetView>
  </sheetViews>
  <sheetFormatPr defaultRowHeight="15" x14ac:dyDescent="0.25"/>
  <cols>
    <col min="2" max="2" width="5.140625" style="11" bestFit="1" customWidth="1"/>
    <col min="3" max="3" width="15.42578125" style="11" customWidth="1"/>
    <col min="4" max="4" width="35.5703125" customWidth="1"/>
    <col min="5" max="5" width="14.28515625" style="43" customWidth="1"/>
    <col min="6" max="6" width="21.140625" style="11" customWidth="1"/>
    <col min="7" max="7" width="27.28515625" bestFit="1" customWidth="1"/>
    <col min="8" max="8" width="21" style="11" customWidth="1"/>
    <col min="9" max="9" width="21" style="46" customWidth="1"/>
    <col min="10" max="10" width="14.7109375" style="14" customWidth="1"/>
    <col min="11" max="11" width="13.85546875" customWidth="1"/>
    <col min="12" max="12" width="10.5703125" bestFit="1" customWidth="1"/>
    <col min="13" max="13" width="12.42578125" bestFit="1" customWidth="1"/>
    <col min="14" max="14" width="14.28515625" customWidth="1"/>
    <col min="15" max="15" width="13.7109375" customWidth="1"/>
    <col min="16" max="16" width="13.7109375" style="52" customWidth="1"/>
    <col min="17" max="17" width="13.5703125" style="52" bestFit="1" customWidth="1"/>
  </cols>
  <sheetData>
    <row r="2" spans="2:17" x14ac:dyDescent="0.25">
      <c r="E2" s="43" t="s">
        <v>193</v>
      </c>
      <c r="K2" s="14"/>
      <c r="M2" s="15"/>
      <c r="N2" s="16"/>
      <c r="O2" s="16"/>
    </row>
    <row r="3" spans="2:17" x14ac:dyDescent="0.25">
      <c r="O3" s="76" t="s">
        <v>175</v>
      </c>
      <c r="P3" s="76"/>
      <c r="Q3" s="52" t="s">
        <v>173</v>
      </c>
    </row>
    <row r="4" spans="2:17" ht="43.5" x14ac:dyDescent="0.25">
      <c r="B4" s="7" t="s">
        <v>4</v>
      </c>
      <c r="C4" s="7" t="s">
        <v>50</v>
      </c>
      <c r="D4" s="2" t="s">
        <v>1</v>
      </c>
      <c r="E4" s="50" t="s">
        <v>43</v>
      </c>
      <c r="F4" s="45" t="s">
        <v>44</v>
      </c>
      <c r="G4" s="45" t="s">
        <v>167</v>
      </c>
      <c r="H4" s="45" t="s">
        <v>174</v>
      </c>
      <c r="I4" s="47" t="s">
        <v>178</v>
      </c>
      <c r="J4" s="47" t="s">
        <v>179</v>
      </c>
      <c r="K4" s="2" t="s">
        <v>46</v>
      </c>
      <c r="L4" s="2" t="s">
        <v>47</v>
      </c>
      <c r="M4" s="2" t="s">
        <v>48</v>
      </c>
      <c r="N4" s="2" t="s">
        <v>49</v>
      </c>
      <c r="O4" s="7" t="s">
        <v>176</v>
      </c>
      <c r="P4" s="54" t="s">
        <v>177</v>
      </c>
      <c r="Q4" s="53" t="s">
        <v>172</v>
      </c>
    </row>
    <row r="5" spans="2:17" x14ac:dyDescent="0.25">
      <c r="B5" s="11">
        <v>1</v>
      </c>
      <c r="C5" s="19">
        <v>45897</v>
      </c>
      <c r="D5" s="1" t="s">
        <v>19</v>
      </c>
      <c r="E5" s="51">
        <v>1</v>
      </c>
      <c r="F5" s="46">
        <v>4490</v>
      </c>
      <c r="G5" s="46">
        <v>3864</v>
      </c>
      <c r="H5" s="46">
        <v>4100</v>
      </c>
      <c r="I5" s="14">
        <f>H5*E5</f>
        <v>4100</v>
      </c>
      <c r="J5" s="14">
        <v>3740</v>
      </c>
      <c r="K5" s="14">
        <f>(J5-G5)</f>
        <v>-124</v>
      </c>
      <c r="L5" s="16">
        <f>(K5/G5)</f>
        <v>-3.2091097308488616E-2</v>
      </c>
      <c r="M5" s="14">
        <f>(F5-J5)</f>
        <v>750</v>
      </c>
      <c r="N5" s="16">
        <f>(M5/F5)</f>
        <v>0.16703786191536749</v>
      </c>
      <c r="O5" s="16">
        <v>0.12</v>
      </c>
      <c r="P5" s="52">
        <f>G5*O5</f>
        <v>463.68</v>
      </c>
      <c r="Q5" s="52" t="s">
        <v>184</v>
      </c>
    </row>
    <row r="6" spans="2:17" x14ac:dyDescent="0.25">
      <c r="B6" s="11">
        <v>2</v>
      </c>
      <c r="C6" s="19">
        <v>45898</v>
      </c>
      <c r="D6" s="1" t="s">
        <v>168</v>
      </c>
      <c r="E6" s="51">
        <v>1</v>
      </c>
      <c r="F6" s="46">
        <v>3280</v>
      </c>
      <c r="G6" s="46">
        <v>2688</v>
      </c>
      <c r="H6" s="46">
        <v>3000</v>
      </c>
      <c r="I6" s="14">
        <f t="shared" ref="I6:I69" si="0">H6*E6</f>
        <v>3000</v>
      </c>
      <c r="J6" s="14">
        <v>2000</v>
      </c>
      <c r="K6" s="14">
        <f t="shared" ref="K6:K69" si="1">(J6-G6)</f>
        <v>-688</v>
      </c>
      <c r="L6" s="16">
        <f t="shared" ref="L6:L69" si="2">(K6/G6)</f>
        <v>-0.25595238095238093</v>
      </c>
      <c r="M6" s="14">
        <f t="shared" ref="M6:M69" si="3">(F6-J6)</f>
        <v>1280</v>
      </c>
      <c r="N6" s="16">
        <f t="shared" ref="N6:N69" si="4">(M6/F6)</f>
        <v>0.3902439024390244</v>
      </c>
      <c r="O6" s="16">
        <v>0.12</v>
      </c>
      <c r="P6" s="52">
        <f t="shared" ref="P6:P69" si="5">G6*O6</f>
        <v>322.56</v>
      </c>
    </row>
    <row r="7" spans="2:17" x14ac:dyDescent="0.25">
      <c r="B7" s="11">
        <v>3</v>
      </c>
      <c r="C7" s="19">
        <v>45902</v>
      </c>
      <c r="D7" s="1" t="s">
        <v>58</v>
      </c>
      <c r="E7" s="43">
        <v>1</v>
      </c>
      <c r="F7" s="11">
        <v>500</v>
      </c>
      <c r="G7" s="46">
        <v>367.5</v>
      </c>
      <c r="H7" s="11">
        <v>425</v>
      </c>
      <c r="I7" s="14">
        <f t="shared" si="0"/>
        <v>425</v>
      </c>
      <c r="K7" s="14">
        <f>(J7-G7)</f>
        <v>-367.5</v>
      </c>
      <c r="L7" s="16">
        <f t="shared" si="2"/>
        <v>-1</v>
      </c>
      <c r="M7" s="14">
        <f t="shared" si="3"/>
        <v>500</v>
      </c>
      <c r="N7" s="16">
        <f t="shared" si="4"/>
        <v>1</v>
      </c>
      <c r="O7" s="16">
        <v>0.05</v>
      </c>
      <c r="P7" s="52">
        <f t="shared" si="5"/>
        <v>18.375</v>
      </c>
    </row>
    <row r="8" spans="2:17" x14ac:dyDescent="0.25">
      <c r="B8" s="11">
        <v>4</v>
      </c>
      <c r="C8" s="19">
        <v>45902</v>
      </c>
      <c r="D8" s="1" t="s">
        <v>59</v>
      </c>
      <c r="E8" s="43">
        <v>10</v>
      </c>
      <c r="F8" s="11">
        <v>456</v>
      </c>
      <c r="G8" s="11">
        <v>36.47</v>
      </c>
      <c r="H8" s="11">
        <v>37.5</v>
      </c>
      <c r="I8" s="14">
        <f>H8*E8</f>
        <v>375</v>
      </c>
      <c r="K8" s="14">
        <f t="shared" si="1"/>
        <v>-36.47</v>
      </c>
      <c r="L8" s="16">
        <f t="shared" si="2"/>
        <v>-1</v>
      </c>
      <c r="M8" s="14">
        <f t="shared" si="3"/>
        <v>456</v>
      </c>
      <c r="N8" s="16">
        <f t="shared" si="4"/>
        <v>1</v>
      </c>
      <c r="O8" s="16">
        <v>0.12</v>
      </c>
      <c r="P8" s="52">
        <f t="shared" si="5"/>
        <v>4.3763999999999994</v>
      </c>
    </row>
    <row r="9" spans="2:17" x14ac:dyDescent="0.25">
      <c r="B9" s="11">
        <v>5</v>
      </c>
      <c r="C9" s="19">
        <v>45908</v>
      </c>
      <c r="D9" s="1" t="s">
        <v>169</v>
      </c>
      <c r="E9" s="43">
        <v>1</v>
      </c>
      <c r="F9" s="11">
        <v>1340</v>
      </c>
      <c r="G9" s="11">
        <v>1316</v>
      </c>
      <c r="H9" s="11">
        <v>1340</v>
      </c>
      <c r="I9" s="14">
        <f t="shared" si="0"/>
        <v>1340</v>
      </c>
      <c r="K9" s="14">
        <f t="shared" si="1"/>
        <v>-1316</v>
      </c>
      <c r="L9" s="16">
        <f t="shared" si="2"/>
        <v>-1</v>
      </c>
      <c r="M9" s="14">
        <f t="shared" si="3"/>
        <v>1340</v>
      </c>
      <c r="N9" s="16">
        <f t="shared" si="4"/>
        <v>1</v>
      </c>
      <c r="O9" s="16">
        <v>0.12</v>
      </c>
      <c r="P9" s="52">
        <f t="shared" si="5"/>
        <v>157.91999999999999</v>
      </c>
    </row>
    <row r="10" spans="2:17" x14ac:dyDescent="0.25">
      <c r="B10" s="11">
        <v>6</v>
      </c>
      <c r="D10" s="1" t="s">
        <v>170</v>
      </c>
      <c r="E10" s="43">
        <v>1</v>
      </c>
      <c r="F10" s="11">
        <v>740</v>
      </c>
      <c r="G10" s="46">
        <v>504</v>
      </c>
      <c r="H10" s="11">
        <v>600</v>
      </c>
      <c r="I10" s="14">
        <f t="shared" si="0"/>
        <v>600</v>
      </c>
      <c r="K10" s="14">
        <f t="shared" si="1"/>
        <v>-504</v>
      </c>
      <c r="L10" s="16">
        <f t="shared" si="2"/>
        <v>-1</v>
      </c>
      <c r="M10" s="14">
        <f t="shared" si="3"/>
        <v>740</v>
      </c>
      <c r="N10" s="16">
        <f t="shared" si="4"/>
        <v>1</v>
      </c>
      <c r="O10" s="16">
        <v>0.12</v>
      </c>
      <c r="P10" s="52">
        <f t="shared" si="5"/>
        <v>60.48</v>
      </c>
    </row>
    <row r="11" spans="2:17" x14ac:dyDescent="0.25">
      <c r="B11" s="11">
        <v>7</v>
      </c>
      <c r="D11" s="1" t="s">
        <v>171</v>
      </c>
      <c r="E11" s="43">
        <v>1</v>
      </c>
      <c r="F11" s="11">
        <v>700</v>
      </c>
      <c r="G11" s="46">
        <v>616</v>
      </c>
      <c r="H11" s="11">
        <v>650</v>
      </c>
      <c r="I11" s="14">
        <f t="shared" si="0"/>
        <v>650</v>
      </c>
      <c r="K11" s="14">
        <f t="shared" si="1"/>
        <v>-616</v>
      </c>
      <c r="L11" s="16">
        <f t="shared" si="2"/>
        <v>-1</v>
      </c>
      <c r="M11" s="14">
        <f t="shared" si="3"/>
        <v>700</v>
      </c>
      <c r="N11" s="16">
        <f t="shared" si="4"/>
        <v>1</v>
      </c>
      <c r="O11" s="16">
        <v>0.12</v>
      </c>
      <c r="P11" s="52">
        <f t="shared" si="5"/>
        <v>73.92</v>
      </c>
    </row>
    <row r="12" spans="2:17" x14ac:dyDescent="0.25">
      <c r="B12" s="11">
        <v>8</v>
      </c>
      <c r="D12" s="1" t="s">
        <v>155</v>
      </c>
      <c r="E12" s="43">
        <v>1</v>
      </c>
      <c r="F12" s="11">
        <v>250</v>
      </c>
      <c r="G12" s="46">
        <v>196</v>
      </c>
      <c r="H12" s="11">
        <v>225</v>
      </c>
      <c r="I12" s="14">
        <f t="shared" si="0"/>
        <v>225</v>
      </c>
      <c r="J12" s="14">
        <v>150</v>
      </c>
      <c r="K12" s="14">
        <f t="shared" si="1"/>
        <v>-46</v>
      </c>
      <c r="L12" s="16">
        <f t="shared" si="2"/>
        <v>-0.23469387755102042</v>
      </c>
      <c r="M12" s="14">
        <f t="shared" si="3"/>
        <v>100</v>
      </c>
      <c r="N12" s="16">
        <f t="shared" si="4"/>
        <v>0.4</v>
      </c>
      <c r="O12" s="16">
        <v>0.12</v>
      </c>
      <c r="P12" s="52">
        <f t="shared" si="5"/>
        <v>23.52</v>
      </c>
    </row>
    <row r="13" spans="2:17" x14ac:dyDescent="0.25">
      <c r="B13" s="11">
        <v>9</v>
      </c>
      <c r="C13" s="19">
        <v>45908</v>
      </c>
      <c r="D13" s="1" t="s">
        <v>180</v>
      </c>
      <c r="E13" s="43">
        <v>1</v>
      </c>
      <c r="F13" s="11">
        <v>600</v>
      </c>
      <c r="G13" s="46">
        <v>150</v>
      </c>
      <c r="H13" s="11">
        <v>250</v>
      </c>
      <c r="I13" s="14">
        <f t="shared" si="0"/>
        <v>250</v>
      </c>
      <c r="J13" s="14">
        <v>250</v>
      </c>
      <c r="K13" s="14">
        <f t="shared" si="1"/>
        <v>100</v>
      </c>
      <c r="L13" s="16">
        <f t="shared" si="2"/>
        <v>0.66666666666666663</v>
      </c>
      <c r="M13" s="14">
        <f t="shared" si="3"/>
        <v>350</v>
      </c>
      <c r="N13" s="16">
        <f t="shared" si="4"/>
        <v>0.58333333333333337</v>
      </c>
      <c r="O13" s="16"/>
      <c r="P13" s="52">
        <f t="shared" si="5"/>
        <v>0</v>
      </c>
    </row>
    <row r="14" spans="2:17" x14ac:dyDescent="0.25">
      <c r="B14" s="11">
        <v>10</v>
      </c>
      <c r="D14" s="1" t="s">
        <v>181</v>
      </c>
      <c r="E14" s="43">
        <v>1</v>
      </c>
      <c r="F14" s="11">
        <v>600</v>
      </c>
      <c r="G14" s="46">
        <v>150</v>
      </c>
      <c r="H14" s="11">
        <v>250</v>
      </c>
      <c r="I14" s="14">
        <f t="shared" si="0"/>
        <v>250</v>
      </c>
      <c r="J14" s="14">
        <v>250</v>
      </c>
      <c r="K14" s="14">
        <f t="shared" si="1"/>
        <v>100</v>
      </c>
      <c r="L14" s="16">
        <f t="shared" si="2"/>
        <v>0.66666666666666663</v>
      </c>
      <c r="M14" s="14">
        <f t="shared" si="3"/>
        <v>350</v>
      </c>
      <c r="N14" s="16">
        <f t="shared" si="4"/>
        <v>0.58333333333333337</v>
      </c>
      <c r="O14" s="16"/>
      <c r="P14" s="52">
        <f t="shared" si="5"/>
        <v>0</v>
      </c>
    </row>
    <row r="15" spans="2:17" x14ac:dyDescent="0.25">
      <c r="B15" s="11">
        <v>11</v>
      </c>
      <c r="C15" s="19">
        <v>45908</v>
      </c>
      <c r="D15" s="1" t="s">
        <v>182</v>
      </c>
      <c r="E15" s="43">
        <v>1</v>
      </c>
      <c r="F15" s="11">
        <v>309</v>
      </c>
      <c r="G15" s="46">
        <v>200</v>
      </c>
      <c r="H15" s="11">
        <v>250</v>
      </c>
      <c r="I15" s="14">
        <f t="shared" si="0"/>
        <v>250</v>
      </c>
      <c r="J15" s="14">
        <v>250</v>
      </c>
      <c r="K15" s="14">
        <f t="shared" si="1"/>
        <v>50</v>
      </c>
      <c r="L15" s="16">
        <f t="shared" si="2"/>
        <v>0.25</v>
      </c>
      <c r="M15" s="14">
        <f t="shared" si="3"/>
        <v>59</v>
      </c>
      <c r="N15" s="16">
        <f t="shared" si="4"/>
        <v>0.19093851132686085</v>
      </c>
      <c r="O15" s="16"/>
      <c r="P15" s="52">
        <f t="shared" si="5"/>
        <v>0</v>
      </c>
    </row>
    <row r="16" spans="2:17" x14ac:dyDescent="0.25">
      <c r="B16" s="11">
        <v>12</v>
      </c>
      <c r="D16" s="1" t="s">
        <v>183</v>
      </c>
      <c r="E16" s="43">
        <v>1</v>
      </c>
      <c r="F16" s="11">
        <v>309</v>
      </c>
      <c r="G16" s="46">
        <v>200</v>
      </c>
      <c r="H16" s="11">
        <v>250</v>
      </c>
      <c r="I16" s="14">
        <f t="shared" si="0"/>
        <v>250</v>
      </c>
      <c r="J16" s="14">
        <v>250</v>
      </c>
      <c r="K16" s="14">
        <f t="shared" si="1"/>
        <v>50</v>
      </c>
      <c r="L16" s="16">
        <f t="shared" si="2"/>
        <v>0.25</v>
      </c>
      <c r="M16" s="14">
        <f t="shared" si="3"/>
        <v>59</v>
      </c>
      <c r="N16" s="16">
        <f t="shared" si="4"/>
        <v>0.19093851132686085</v>
      </c>
      <c r="O16" s="16"/>
      <c r="P16" s="52">
        <f t="shared" si="5"/>
        <v>0</v>
      </c>
    </row>
    <row r="17" spans="2:16" x14ac:dyDescent="0.25">
      <c r="B17" s="11">
        <v>13</v>
      </c>
      <c r="C17" s="19">
        <v>45909</v>
      </c>
      <c r="D17" s="1" t="s">
        <v>59</v>
      </c>
      <c r="E17" s="43">
        <v>20</v>
      </c>
      <c r="F17" s="11">
        <v>912</v>
      </c>
      <c r="G17" s="46">
        <v>729.56</v>
      </c>
      <c r="H17" s="11">
        <v>37.57</v>
      </c>
      <c r="I17" s="14">
        <f>H17*E17</f>
        <v>751.4</v>
      </c>
      <c r="J17" s="14">
        <v>700</v>
      </c>
      <c r="K17" s="14">
        <f t="shared" si="1"/>
        <v>-29.559999999999945</v>
      </c>
      <c r="L17" s="16">
        <f t="shared" si="2"/>
        <v>-4.0517572235319849E-2</v>
      </c>
      <c r="M17" s="14">
        <f t="shared" si="3"/>
        <v>212</v>
      </c>
      <c r="N17" s="16">
        <f t="shared" si="4"/>
        <v>0.23245614035087719</v>
      </c>
      <c r="O17" s="16">
        <v>0.12</v>
      </c>
      <c r="P17" s="52">
        <f t="shared" si="5"/>
        <v>87.547199999999989</v>
      </c>
    </row>
    <row r="18" spans="2:16" x14ac:dyDescent="0.25">
      <c r="B18" s="11">
        <v>14</v>
      </c>
      <c r="C18" s="19">
        <v>45909</v>
      </c>
      <c r="D18" s="1" t="s">
        <v>59</v>
      </c>
      <c r="E18" s="43">
        <v>20</v>
      </c>
      <c r="F18" s="11">
        <v>912</v>
      </c>
      <c r="G18" s="46">
        <v>729.56</v>
      </c>
      <c r="H18" s="11">
        <v>37.57</v>
      </c>
      <c r="I18" s="14">
        <f t="shared" si="0"/>
        <v>751.4</v>
      </c>
      <c r="J18" s="14">
        <v>740</v>
      </c>
      <c r="K18" s="14">
        <f t="shared" si="1"/>
        <v>10.440000000000055</v>
      </c>
      <c r="L18" s="16">
        <f t="shared" si="2"/>
        <v>1.4309995065519018E-2</v>
      </c>
      <c r="M18" s="14">
        <f t="shared" si="3"/>
        <v>172</v>
      </c>
      <c r="N18" s="16">
        <f t="shared" si="4"/>
        <v>0.18859649122807018</v>
      </c>
      <c r="O18" s="16">
        <v>0.12</v>
      </c>
      <c r="P18" s="52">
        <f t="shared" si="5"/>
        <v>87.547199999999989</v>
      </c>
    </row>
    <row r="19" spans="2:16" x14ac:dyDescent="0.25">
      <c r="B19" s="11">
        <v>15</v>
      </c>
      <c r="D19" s="1" t="s">
        <v>59</v>
      </c>
      <c r="E19" s="43">
        <v>20</v>
      </c>
      <c r="F19" s="11">
        <v>912</v>
      </c>
      <c r="G19" s="46">
        <v>729</v>
      </c>
      <c r="H19" s="11">
        <v>37.57</v>
      </c>
      <c r="I19" s="14">
        <f t="shared" si="0"/>
        <v>751.4</v>
      </c>
      <c r="K19" s="14">
        <f t="shared" si="1"/>
        <v>-729</v>
      </c>
      <c r="L19" s="16">
        <f t="shared" si="2"/>
        <v>-1</v>
      </c>
      <c r="M19" s="14">
        <f t="shared" si="3"/>
        <v>912</v>
      </c>
      <c r="N19" s="16">
        <f t="shared" si="4"/>
        <v>1</v>
      </c>
      <c r="O19" s="16">
        <v>0.12</v>
      </c>
      <c r="P19" s="52">
        <f t="shared" si="5"/>
        <v>87.47999999999999</v>
      </c>
    </row>
    <row r="20" spans="2:16" x14ac:dyDescent="0.25">
      <c r="I20" s="14">
        <f t="shared" si="0"/>
        <v>0</v>
      </c>
      <c r="K20" s="14">
        <f t="shared" si="1"/>
        <v>0</v>
      </c>
      <c r="L20" s="16" t="e">
        <f t="shared" si="2"/>
        <v>#DIV/0!</v>
      </c>
      <c r="M20" s="14">
        <f t="shared" si="3"/>
        <v>0</v>
      </c>
      <c r="N20" s="16" t="e">
        <f t="shared" si="4"/>
        <v>#DIV/0!</v>
      </c>
      <c r="O20" s="16"/>
      <c r="P20" s="52">
        <f t="shared" si="5"/>
        <v>0</v>
      </c>
    </row>
    <row r="21" spans="2:16" x14ac:dyDescent="0.25">
      <c r="I21" s="14">
        <f t="shared" si="0"/>
        <v>0</v>
      </c>
      <c r="K21" s="14">
        <f t="shared" si="1"/>
        <v>0</v>
      </c>
      <c r="L21" s="16" t="e">
        <f t="shared" si="2"/>
        <v>#DIV/0!</v>
      </c>
      <c r="M21" s="14">
        <f t="shared" si="3"/>
        <v>0</v>
      </c>
      <c r="N21" s="16" t="e">
        <f t="shared" si="4"/>
        <v>#DIV/0!</v>
      </c>
      <c r="O21" s="16"/>
      <c r="P21" s="52">
        <f t="shared" si="5"/>
        <v>0</v>
      </c>
    </row>
    <row r="22" spans="2:16" x14ac:dyDescent="0.25">
      <c r="I22" s="14">
        <f t="shared" si="0"/>
        <v>0</v>
      </c>
      <c r="K22" s="14">
        <f t="shared" si="1"/>
        <v>0</v>
      </c>
      <c r="L22" s="16" t="e">
        <f t="shared" si="2"/>
        <v>#DIV/0!</v>
      </c>
      <c r="M22" s="14">
        <f t="shared" si="3"/>
        <v>0</v>
      </c>
      <c r="N22" s="16" t="e">
        <f t="shared" si="4"/>
        <v>#DIV/0!</v>
      </c>
      <c r="O22" s="16"/>
      <c r="P22" s="52">
        <f t="shared" si="5"/>
        <v>0</v>
      </c>
    </row>
    <row r="23" spans="2:16" x14ac:dyDescent="0.25">
      <c r="I23" s="14">
        <f t="shared" si="0"/>
        <v>0</v>
      </c>
      <c r="K23" s="14">
        <f t="shared" si="1"/>
        <v>0</v>
      </c>
      <c r="L23" s="16" t="e">
        <f t="shared" si="2"/>
        <v>#DIV/0!</v>
      </c>
      <c r="M23" s="14">
        <f t="shared" si="3"/>
        <v>0</v>
      </c>
      <c r="N23" s="16" t="e">
        <f t="shared" si="4"/>
        <v>#DIV/0!</v>
      </c>
      <c r="O23" s="16"/>
      <c r="P23" s="52">
        <f t="shared" si="5"/>
        <v>0</v>
      </c>
    </row>
    <row r="24" spans="2:16" x14ac:dyDescent="0.25">
      <c r="I24" s="14">
        <f t="shared" si="0"/>
        <v>0</v>
      </c>
      <c r="K24" s="14">
        <f t="shared" si="1"/>
        <v>0</v>
      </c>
      <c r="L24" s="16" t="e">
        <f t="shared" si="2"/>
        <v>#DIV/0!</v>
      </c>
      <c r="M24" s="14">
        <f t="shared" si="3"/>
        <v>0</v>
      </c>
      <c r="N24" s="16" t="e">
        <f t="shared" si="4"/>
        <v>#DIV/0!</v>
      </c>
      <c r="O24" s="16"/>
      <c r="P24" s="52">
        <f t="shared" si="5"/>
        <v>0</v>
      </c>
    </row>
    <row r="25" spans="2:16" x14ac:dyDescent="0.25">
      <c r="I25" s="14">
        <f t="shared" si="0"/>
        <v>0</v>
      </c>
      <c r="K25" s="14">
        <f t="shared" si="1"/>
        <v>0</v>
      </c>
      <c r="L25" s="16" t="e">
        <f t="shared" si="2"/>
        <v>#DIV/0!</v>
      </c>
      <c r="M25" s="14">
        <f t="shared" si="3"/>
        <v>0</v>
      </c>
      <c r="N25" s="16" t="e">
        <f t="shared" si="4"/>
        <v>#DIV/0!</v>
      </c>
      <c r="O25" s="16"/>
      <c r="P25" s="52">
        <f t="shared" si="5"/>
        <v>0</v>
      </c>
    </row>
    <row r="26" spans="2:16" x14ac:dyDescent="0.25">
      <c r="I26" s="14">
        <f t="shared" si="0"/>
        <v>0</v>
      </c>
      <c r="K26" s="14">
        <f t="shared" si="1"/>
        <v>0</v>
      </c>
      <c r="L26" s="16" t="e">
        <f t="shared" si="2"/>
        <v>#DIV/0!</v>
      </c>
      <c r="M26" s="14">
        <f t="shared" si="3"/>
        <v>0</v>
      </c>
      <c r="N26" s="16" t="e">
        <f t="shared" si="4"/>
        <v>#DIV/0!</v>
      </c>
      <c r="O26" s="16"/>
      <c r="P26" s="52">
        <f t="shared" si="5"/>
        <v>0</v>
      </c>
    </row>
    <row r="27" spans="2:16" x14ac:dyDescent="0.25">
      <c r="I27" s="14">
        <f t="shared" si="0"/>
        <v>0</v>
      </c>
      <c r="K27" s="14">
        <f t="shared" si="1"/>
        <v>0</v>
      </c>
      <c r="L27" s="16" t="e">
        <f t="shared" si="2"/>
        <v>#DIV/0!</v>
      </c>
      <c r="M27" s="14">
        <f t="shared" si="3"/>
        <v>0</v>
      </c>
      <c r="N27" s="16" t="e">
        <f t="shared" si="4"/>
        <v>#DIV/0!</v>
      </c>
      <c r="O27" s="16"/>
      <c r="P27" s="52">
        <f t="shared" si="5"/>
        <v>0</v>
      </c>
    </row>
    <row r="28" spans="2:16" x14ac:dyDescent="0.25">
      <c r="I28" s="14">
        <f t="shared" si="0"/>
        <v>0</v>
      </c>
      <c r="K28" s="14">
        <f t="shared" si="1"/>
        <v>0</v>
      </c>
      <c r="L28" s="16" t="e">
        <f t="shared" si="2"/>
        <v>#DIV/0!</v>
      </c>
      <c r="M28" s="14">
        <f t="shared" si="3"/>
        <v>0</v>
      </c>
      <c r="N28" s="16" t="e">
        <f t="shared" si="4"/>
        <v>#DIV/0!</v>
      </c>
      <c r="O28" s="16"/>
      <c r="P28" s="52">
        <f t="shared" si="5"/>
        <v>0</v>
      </c>
    </row>
    <row r="29" spans="2:16" x14ac:dyDescent="0.25">
      <c r="I29" s="14">
        <f t="shared" si="0"/>
        <v>0</v>
      </c>
      <c r="K29" s="14">
        <f t="shared" si="1"/>
        <v>0</v>
      </c>
      <c r="L29" s="16" t="e">
        <f t="shared" si="2"/>
        <v>#DIV/0!</v>
      </c>
      <c r="M29" s="14">
        <f t="shared" si="3"/>
        <v>0</v>
      </c>
      <c r="N29" s="16" t="e">
        <f t="shared" si="4"/>
        <v>#DIV/0!</v>
      </c>
      <c r="O29" s="16"/>
      <c r="P29" s="52">
        <f t="shared" si="5"/>
        <v>0</v>
      </c>
    </row>
    <row r="30" spans="2:16" x14ac:dyDescent="0.25">
      <c r="I30" s="14">
        <f t="shared" si="0"/>
        <v>0</v>
      </c>
      <c r="K30" s="14">
        <f t="shared" si="1"/>
        <v>0</v>
      </c>
      <c r="L30" s="16" t="e">
        <f t="shared" si="2"/>
        <v>#DIV/0!</v>
      </c>
      <c r="M30" s="14">
        <f t="shared" si="3"/>
        <v>0</v>
      </c>
      <c r="N30" s="16" t="e">
        <f t="shared" si="4"/>
        <v>#DIV/0!</v>
      </c>
      <c r="O30" s="16"/>
      <c r="P30" s="52">
        <f t="shared" si="5"/>
        <v>0</v>
      </c>
    </row>
    <row r="31" spans="2:16" x14ac:dyDescent="0.25">
      <c r="I31" s="14">
        <f t="shared" si="0"/>
        <v>0</v>
      </c>
      <c r="K31" s="14">
        <f t="shared" si="1"/>
        <v>0</v>
      </c>
      <c r="L31" s="16" t="e">
        <f t="shared" si="2"/>
        <v>#DIV/0!</v>
      </c>
      <c r="M31" s="14">
        <f t="shared" si="3"/>
        <v>0</v>
      </c>
      <c r="N31" s="16" t="e">
        <f t="shared" si="4"/>
        <v>#DIV/0!</v>
      </c>
      <c r="O31" s="16"/>
      <c r="P31" s="52">
        <f t="shared" si="5"/>
        <v>0</v>
      </c>
    </row>
    <row r="32" spans="2:16" x14ac:dyDescent="0.25">
      <c r="I32" s="14">
        <f t="shared" si="0"/>
        <v>0</v>
      </c>
      <c r="K32" s="14">
        <f t="shared" si="1"/>
        <v>0</v>
      </c>
      <c r="L32" s="16" t="e">
        <f t="shared" si="2"/>
        <v>#DIV/0!</v>
      </c>
      <c r="M32" s="14">
        <f t="shared" si="3"/>
        <v>0</v>
      </c>
      <c r="N32" s="16" t="e">
        <f t="shared" si="4"/>
        <v>#DIV/0!</v>
      </c>
      <c r="O32" s="16"/>
      <c r="P32" s="52">
        <f t="shared" si="5"/>
        <v>0</v>
      </c>
    </row>
    <row r="33" spans="9:16" x14ac:dyDescent="0.25">
      <c r="I33" s="14">
        <f t="shared" si="0"/>
        <v>0</v>
      </c>
      <c r="K33" s="14">
        <f t="shared" si="1"/>
        <v>0</v>
      </c>
      <c r="L33" s="16" t="e">
        <f t="shared" si="2"/>
        <v>#DIV/0!</v>
      </c>
      <c r="M33" s="14">
        <f t="shared" si="3"/>
        <v>0</v>
      </c>
      <c r="N33" s="16" t="e">
        <f t="shared" si="4"/>
        <v>#DIV/0!</v>
      </c>
      <c r="O33" s="16"/>
      <c r="P33" s="52">
        <f t="shared" si="5"/>
        <v>0</v>
      </c>
    </row>
    <row r="34" spans="9:16" x14ac:dyDescent="0.25">
      <c r="I34" s="14">
        <f t="shared" si="0"/>
        <v>0</v>
      </c>
      <c r="K34" s="14">
        <f t="shared" si="1"/>
        <v>0</v>
      </c>
      <c r="L34" s="16" t="e">
        <f t="shared" si="2"/>
        <v>#DIV/0!</v>
      </c>
      <c r="M34" s="14">
        <f t="shared" si="3"/>
        <v>0</v>
      </c>
      <c r="N34" s="16" t="e">
        <f t="shared" si="4"/>
        <v>#DIV/0!</v>
      </c>
      <c r="O34" s="16"/>
      <c r="P34" s="52">
        <f t="shared" si="5"/>
        <v>0</v>
      </c>
    </row>
    <row r="35" spans="9:16" x14ac:dyDescent="0.25">
      <c r="I35" s="14">
        <f t="shared" si="0"/>
        <v>0</v>
      </c>
      <c r="K35" s="14">
        <f t="shared" si="1"/>
        <v>0</v>
      </c>
      <c r="L35" s="16" t="e">
        <f t="shared" si="2"/>
        <v>#DIV/0!</v>
      </c>
      <c r="M35" s="14">
        <f t="shared" si="3"/>
        <v>0</v>
      </c>
      <c r="N35" s="16" t="e">
        <f t="shared" si="4"/>
        <v>#DIV/0!</v>
      </c>
      <c r="O35" s="16"/>
      <c r="P35" s="52">
        <f t="shared" si="5"/>
        <v>0</v>
      </c>
    </row>
    <row r="36" spans="9:16" x14ac:dyDescent="0.25">
      <c r="I36" s="14">
        <f t="shared" si="0"/>
        <v>0</v>
      </c>
      <c r="K36" s="14">
        <f t="shared" si="1"/>
        <v>0</v>
      </c>
      <c r="L36" s="16" t="e">
        <f t="shared" si="2"/>
        <v>#DIV/0!</v>
      </c>
      <c r="M36" s="14">
        <f t="shared" si="3"/>
        <v>0</v>
      </c>
      <c r="N36" s="16" t="e">
        <f t="shared" si="4"/>
        <v>#DIV/0!</v>
      </c>
      <c r="O36" s="16"/>
      <c r="P36" s="52">
        <f t="shared" si="5"/>
        <v>0</v>
      </c>
    </row>
    <row r="37" spans="9:16" x14ac:dyDescent="0.25">
      <c r="I37" s="14">
        <f t="shared" si="0"/>
        <v>0</v>
      </c>
      <c r="K37" s="14">
        <f t="shared" si="1"/>
        <v>0</v>
      </c>
      <c r="L37" s="16" t="e">
        <f t="shared" si="2"/>
        <v>#DIV/0!</v>
      </c>
      <c r="M37" s="14">
        <f t="shared" si="3"/>
        <v>0</v>
      </c>
      <c r="N37" s="16" t="e">
        <f t="shared" si="4"/>
        <v>#DIV/0!</v>
      </c>
      <c r="O37" s="16"/>
      <c r="P37" s="52">
        <f t="shared" si="5"/>
        <v>0</v>
      </c>
    </row>
    <row r="38" spans="9:16" x14ac:dyDescent="0.25">
      <c r="I38" s="14">
        <f t="shared" si="0"/>
        <v>0</v>
      </c>
      <c r="K38" s="14">
        <f t="shared" si="1"/>
        <v>0</v>
      </c>
      <c r="L38" s="16" t="e">
        <f t="shared" si="2"/>
        <v>#DIV/0!</v>
      </c>
      <c r="M38" s="14">
        <f t="shared" si="3"/>
        <v>0</v>
      </c>
      <c r="N38" s="16" t="e">
        <f t="shared" si="4"/>
        <v>#DIV/0!</v>
      </c>
      <c r="O38" s="16"/>
      <c r="P38" s="52">
        <f t="shared" si="5"/>
        <v>0</v>
      </c>
    </row>
    <row r="39" spans="9:16" x14ac:dyDescent="0.25">
      <c r="I39" s="14">
        <f t="shared" si="0"/>
        <v>0</v>
      </c>
      <c r="K39" s="14">
        <f t="shared" si="1"/>
        <v>0</v>
      </c>
      <c r="L39" s="16" t="e">
        <f t="shared" si="2"/>
        <v>#DIV/0!</v>
      </c>
      <c r="M39" s="14">
        <f t="shared" si="3"/>
        <v>0</v>
      </c>
      <c r="N39" s="16" t="e">
        <f t="shared" si="4"/>
        <v>#DIV/0!</v>
      </c>
      <c r="O39" s="16"/>
      <c r="P39" s="52">
        <f t="shared" si="5"/>
        <v>0</v>
      </c>
    </row>
    <row r="40" spans="9:16" x14ac:dyDescent="0.25">
      <c r="I40" s="14">
        <f t="shared" si="0"/>
        <v>0</v>
      </c>
      <c r="K40" s="14">
        <f t="shared" si="1"/>
        <v>0</v>
      </c>
      <c r="L40" s="16" t="e">
        <f t="shared" si="2"/>
        <v>#DIV/0!</v>
      </c>
      <c r="M40" s="14">
        <f t="shared" si="3"/>
        <v>0</v>
      </c>
      <c r="N40" s="16" t="e">
        <f t="shared" si="4"/>
        <v>#DIV/0!</v>
      </c>
      <c r="O40" s="16"/>
      <c r="P40" s="52">
        <f t="shared" si="5"/>
        <v>0</v>
      </c>
    </row>
    <row r="41" spans="9:16" x14ac:dyDescent="0.25">
      <c r="I41" s="14">
        <f t="shared" si="0"/>
        <v>0</v>
      </c>
      <c r="K41" s="14">
        <f t="shared" si="1"/>
        <v>0</v>
      </c>
      <c r="L41" s="16" t="e">
        <f t="shared" si="2"/>
        <v>#DIV/0!</v>
      </c>
      <c r="M41" s="14">
        <f t="shared" si="3"/>
        <v>0</v>
      </c>
      <c r="N41" s="16" t="e">
        <f t="shared" si="4"/>
        <v>#DIV/0!</v>
      </c>
      <c r="O41" s="16"/>
      <c r="P41" s="52">
        <f t="shared" si="5"/>
        <v>0</v>
      </c>
    </row>
    <row r="42" spans="9:16" x14ac:dyDescent="0.25">
      <c r="I42" s="14">
        <f t="shared" si="0"/>
        <v>0</v>
      </c>
      <c r="K42" s="14">
        <f t="shared" si="1"/>
        <v>0</v>
      </c>
      <c r="L42" s="16" t="e">
        <f t="shared" si="2"/>
        <v>#DIV/0!</v>
      </c>
      <c r="M42" s="14">
        <f t="shared" si="3"/>
        <v>0</v>
      </c>
      <c r="N42" s="16" t="e">
        <f t="shared" si="4"/>
        <v>#DIV/0!</v>
      </c>
      <c r="O42" s="16"/>
      <c r="P42" s="52">
        <f t="shared" si="5"/>
        <v>0</v>
      </c>
    </row>
    <row r="43" spans="9:16" x14ac:dyDescent="0.25">
      <c r="I43" s="14">
        <f t="shared" si="0"/>
        <v>0</v>
      </c>
      <c r="K43" s="14">
        <f t="shared" si="1"/>
        <v>0</v>
      </c>
      <c r="L43" s="16" t="e">
        <f t="shared" si="2"/>
        <v>#DIV/0!</v>
      </c>
      <c r="M43" s="14">
        <f t="shared" si="3"/>
        <v>0</v>
      </c>
      <c r="N43" s="16" t="e">
        <f t="shared" si="4"/>
        <v>#DIV/0!</v>
      </c>
      <c r="O43" s="16"/>
      <c r="P43" s="52">
        <f t="shared" si="5"/>
        <v>0</v>
      </c>
    </row>
    <row r="44" spans="9:16" x14ac:dyDescent="0.25">
      <c r="I44" s="14">
        <f t="shared" si="0"/>
        <v>0</v>
      </c>
      <c r="K44" s="14">
        <f t="shared" si="1"/>
        <v>0</v>
      </c>
      <c r="L44" s="16" t="e">
        <f t="shared" si="2"/>
        <v>#DIV/0!</v>
      </c>
      <c r="M44" s="14">
        <f t="shared" si="3"/>
        <v>0</v>
      </c>
      <c r="N44" s="16" t="e">
        <f t="shared" si="4"/>
        <v>#DIV/0!</v>
      </c>
      <c r="O44" s="16"/>
      <c r="P44" s="52">
        <f t="shared" si="5"/>
        <v>0</v>
      </c>
    </row>
    <row r="45" spans="9:16" x14ac:dyDescent="0.25">
      <c r="I45" s="14">
        <f t="shared" si="0"/>
        <v>0</v>
      </c>
      <c r="K45" s="14">
        <f t="shared" si="1"/>
        <v>0</v>
      </c>
      <c r="L45" s="16" t="e">
        <f t="shared" si="2"/>
        <v>#DIV/0!</v>
      </c>
      <c r="M45" s="14">
        <f t="shared" si="3"/>
        <v>0</v>
      </c>
      <c r="N45" s="16" t="e">
        <f t="shared" si="4"/>
        <v>#DIV/0!</v>
      </c>
      <c r="O45" s="16"/>
      <c r="P45" s="52">
        <f t="shared" si="5"/>
        <v>0</v>
      </c>
    </row>
    <row r="46" spans="9:16" x14ac:dyDescent="0.25">
      <c r="I46" s="14">
        <f t="shared" si="0"/>
        <v>0</v>
      </c>
      <c r="K46" s="14">
        <f t="shared" si="1"/>
        <v>0</v>
      </c>
      <c r="L46" s="16" t="e">
        <f t="shared" si="2"/>
        <v>#DIV/0!</v>
      </c>
      <c r="M46" s="14">
        <f t="shared" si="3"/>
        <v>0</v>
      </c>
      <c r="N46" s="16" t="e">
        <f t="shared" si="4"/>
        <v>#DIV/0!</v>
      </c>
      <c r="O46" s="16"/>
      <c r="P46" s="52">
        <f t="shared" si="5"/>
        <v>0</v>
      </c>
    </row>
    <row r="47" spans="9:16" x14ac:dyDescent="0.25">
      <c r="I47" s="14">
        <f t="shared" si="0"/>
        <v>0</v>
      </c>
      <c r="K47" s="14">
        <f t="shared" si="1"/>
        <v>0</v>
      </c>
      <c r="L47" s="16" t="e">
        <f t="shared" si="2"/>
        <v>#DIV/0!</v>
      </c>
      <c r="M47" s="14">
        <f t="shared" si="3"/>
        <v>0</v>
      </c>
      <c r="N47" s="16" t="e">
        <f t="shared" si="4"/>
        <v>#DIV/0!</v>
      </c>
      <c r="O47" s="16"/>
      <c r="P47" s="52">
        <f t="shared" si="5"/>
        <v>0</v>
      </c>
    </row>
    <row r="48" spans="9:16" x14ac:dyDescent="0.25">
      <c r="I48" s="14">
        <f t="shared" si="0"/>
        <v>0</v>
      </c>
      <c r="K48" s="14">
        <f t="shared" si="1"/>
        <v>0</v>
      </c>
      <c r="L48" s="16" t="e">
        <f t="shared" si="2"/>
        <v>#DIV/0!</v>
      </c>
      <c r="M48" s="14">
        <f t="shared" si="3"/>
        <v>0</v>
      </c>
      <c r="N48" s="16" t="e">
        <f t="shared" si="4"/>
        <v>#DIV/0!</v>
      </c>
      <c r="O48" s="16"/>
      <c r="P48" s="52">
        <f t="shared" si="5"/>
        <v>0</v>
      </c>
    </row>
    <row r="49" spans="9:16" x14ac:dyDescent="0.25">
      <c r="I49" s="14">
        <f t="shared" si="0"/>
        <v>0</v>
      </c>
      <c r="K49" s="14">
        <f t="shared" si="1"/>
        <v>0</v>
      </c>
      <c r="L49" s="16" t="e">
        <f t="shared" si="2"/>
        <v>#DIV/0!</v>
      </c>
      <c r="M49" s="14">
        <f t="shared" si="3"/>
        <v>0</v>
      </c>
      <c r="N49" s="16" t="e">
        <f t="shared" si="4"/>
        <v>#DIV/0!</v>
      </c>
      <c r="O49" s="16"/>
      <c r="P49" s="52">
        <f t="shared" si="5"/>
        <v>0</v>
      </c>
    </row>
    <row r="50" spans="9:16" x14ac:dyDescent="0.25">
      <c r="I50" s="14">
        <f t="shared" si="0"/>
        <v>0</v>
      </c>
      <c r="K50" s="14">
        <f t="shared" si="1"/>
        <v>0</v>
      </c>
      <c r="L50" s="16" t="e">
        <f t="shared" si="2"/>
        <v>#DIV/0!</v>
      </c>
      <c r="M50" s="14">
        <f t="shared" si="3"/>
        <v>0</v>
      </c>
      <c r="N50" s="16" t="e">
        <f t="shared" si="4"/>
        <v>#DIV/0!</v>
      </c>
      <c r="O50" s="16"/>
      <c r="P50" s="52">
        <f t="shared" si="5"/>
        <v>0</v>
      </c>
    </row>
    <row r="51" spans="9:16" x14ac:dyDescent="0.25">
      <c r="I51" s="14">
        <f t="shared" si="0"/>
        <v>0</v>
      </c>
      <c r="K51" s="14">
        <f t="shared" si="1"/>
        <v>0</v>
      </c>
      <c r="L51" s="16" t="e">
        <f t="shared" si="2"/>
        <v>#DIV/0!</v>
      </c>
      <c r="M51" s="14">
        <f t="shared" si="3"/>
        <v>0</v>
      </c>
      <c r="N51" s="16" t="e">
        <f t="shared" si="4"/>
        <v>#DIV/0!</v>
      </c>
      <c r="O51" s="16"/>
      <c r="P51" s="52">
        <f t="shared" si="5"/>
        <v>0</v>
      </c>
    </row>
    <row r="52" spans="9:16" x14ac:dyDescent="0.25">
      <c r="I52" s="14">
        <f t="shared" si="0"/>
        <v>0</v>
      </c>
      <c r="K52" s="14">
        <f t="shared" si="1"/>
        <v>0</v>
      </c>
      <c r="L52" s="16" t="e">
        <f t="shared" si="2"/>
        <v>#DIV/0!</v>
      </c>
      <c r="M52" s="14">
        <f t="shared" si="3"/>
        <v>0</v>
      </c>
      <c r="N52" s="16" t="e">
        <f t="shared" si="4"/>
        <v>#DIV/0!</v>
      </c>
      <c r="O52" s="16"/>
      <c r="P52" s="52">
        <f t="shared" si="5"/>
        <v>0</v>
      </c>
    </row>
    <row r="53" spans="9:16" x14ac:dyDescent="0.25">
      <c r="I53" s="14">
        <f t="shared" si="0"/>
        <v>0</v>
      </c>
      <c r="K53" s="14">
        <f t="shared" si="1"/>
        <v>0</v>
      </c>
      <c r="L53" s="16" t="e">
        <f t="shared" si="2"/>
        <v>#DIV/0!</v>
      </c>
      <c r="M53" s="14">
        <f t="shared" si="3"/>
        <v>0</v>
      </c>
      <c r="N53" s="16" t="e">
        <f t="shared" si="4"/>
        <v>#DIV/0!</v>
      </c>
      <c r="O53" s="16"/>
      <c r="P53" s="52">
        <f t="shared" si="5"/>
        <v>0</v>
      </c>
    </row>
    <row r="54" spans="9:16" x14ac:dyDescent="0.25">
      <c r="I54" s="14">
        <f t="shared" si="0"/>
        <v>0</v>
      </c>
      <c r="K54" s="14">
        <f t="shared" si="1"/>
        <v>0</v>
      </c>
      <c r="L54" s="16" t="e">
        <f t="shared" si="2"/>
        <v>#DIV/0!</v>
      </c>
      <c r="M54" s="14">
        <f t="shared" si="3"/>
        <v>0</v>
      </c>
      <c r="N54" s="16" t="e">
        <f t="shared" si="4"/>
        <v>#DIV/0!</v>
      </c>
      <c r="O54" s="16"/>
      <c r="P54" s="52">
        <f t="shared" si="5"/>
        <v>0</v>
      </c>
    </row>
    <row r="55" spans="9:16" x14ac:dyDescent="0.25">
      <c r="I55" s="14">
        <f t="shared" si="0"/>
        <v>0</v>
      </c>
      <c r="K55" s="14">
        <f t="shared" si="1"/>
        <v>0</v>
      </c>
      <c r="L55" s="16" t="e">
        <f t="shared" si="2"/>
        <v>#DIV/0!</v>
      </c>
      <c r="M55" s="14">
        <f t="shared" si="3"/>
        <v>0</v>
      </c>
      <c r="N55" s="16" t="e">
        <f t="shared" si="4"/>
        <v>#DIV/0!</v>
      </c>
      <c r="O55" s="16"/>
      <c r="P55" s="52">
        <f t="shared" si="5"/>
        <v>0</v>
      </c>
    </row>
    <row r="56" spans="9:16" x14ac:dyDescent="0.25">
      <c r="I56" s="14">
        <f t="shared" si="0"/>
        <v>0</v>
      </c>
      <c r="K56" s="14">
        <f t="shared" si="1"/>
        <v>0</v>
      </c>
      <c r="L56" s="16" t="e">
        <f t="shared" si="2"/>
        <v>#DIV/0!</v>
      </c>
      <c r="M56" s="14">
        <f t="shared" si="3"/>
        <v>0</v>
      </c>
      <c r="N56" s="16" t="e">
        <f t="shared" si="4"/>
        <v>#DIV/0!</v>
      </c>
      <c r="O56" s="16"/>
      <c r="P56" s="52">
        <f t="shared" si="5"/>
        <v>0</v>
      </c>
    </row>
    <row r="57" spans="9:16" x14ac:dyDescent="0.25">
      <c r="I57" s="14">
        <f t="shared" si="0"/>
        <v>0</v>
      </c>
      <c r="K57" s="14">
        <f t="shared" si="1"/>
        <v>0</v>
      </c>
      <c r="L57" s="16" t="e">
        <f t="shared" si="2"/>
        <v>#DIV/0!</v>
      </c>
      <c r="M57" s="14">
        <f t="shared" si="3"/>
        <v>0</v>
      </c>
      <c r="N57" s="16" t="e">
        <f t="shared" si="4"/>
        <v>#DIV/0!</v>
      </c>
      <c r="O57" s="16"/>
      <c r="P57" s="52">
        <f t="shared" si="5"/>
        <v>0</v>
      </c>
    </row>
    <row r="58" spans="9:16" x14ac:dyDescent="0.25">
      <c r="I58" s="14">
        <f t="shared" si="0"/>
        <v>0</v>
      </c>
      <c r="K58" s="14">
        <f t="shared" si="1"/>
        <v>0</v>
      </c>
      <c r="L58" s="16" t="e">
        <f t="shared" si="2"/>
        <v>#DIV/0!</v>
      </c>
      <c r="M58" s="14">
        <f t="shared" si="3"/>
        <v>0</v>
      </c>
      <c r="N58" s="16" t="e">
        <f t="shared" si="4"/>
        <v>#DIV/0!</v>
      </c>
      <c r="O58" s="16"/>
      <c r="P58" s="52">
        <f t="shared" si="5"/>
        <v>0</v>
      </c>
    </row>
    <row r="59" spans="9:16" x14ac:dyDescent="0.25">
      <c r="I59" s="14">
        <f t="shared" si="0"/>
        <v>0</v>
      </c>
      <c r="K59" s="14">
        <f t="shared" si="1"/>
        <v>0</v>
      </c>
      <c r="L59" s="16" t="e">
        <f t="shared" si="2"/>
        <v>#DIV/0!</v>
      </c>
      <c r="M59" s="14">
        <f t="shared" si="3"/>
        <v>0</v>
      </c>
      <c r="N59" s="16" t="e">
        <f t="shared" si="4"/>
        <v>#DIV/0!</v>
      </c>
      <c r="O59" s="16"/>
      <c r="P59" s="52">
        <f t="shared" si="5"/>
        <v>0</v>
      </c>
    </row>
    <row r="60" spans="9:16" x14ac:dyDescent="0.25">
      <c r="I60" s="14">
        <f t="shared" si="0"/>
        <v>0</v>
      </c>
      <c r="K60" s="14">
        <f t="shared" si="1"/>
        <v>0</v>
      </c>
      <c r="L60" s="16" t="e">
        <f t="shared" si="2"/>
        <v>#DIV/0!</v>
      </c>
      <c r="M60" s="14">
        <f t="shared" si="3"/>
        <v>0</v>
      </c>
      <c r="N60" s="16" t="e">
        <f t="shared" si="4"/>
        <v>#DIV/0!</v>
      </c>
      <c r="O60" s="16"/>
      <c r="P60" s="52">
        <f t="shared" si="5"/>
        <v>0</v>
      </c>
    </row>
    <row r="61" spans="9:16" x14ac:dyDescent="0.25">
      <c r="I61" s="14">
        <f t="shared" si="0"/>
        <v>0</v>
      </c>
      <c r="K61" s="14">
        <f t="shared" si="1"/>
        <v>0</v>
      </c>
      <c r="L61" s="16" t="e">
        <f t="shared" si="2"/>
        <v>#DIV/0!</v>
      </c>
      <c r="M61" s="14">
        <f t="shared" si="3"/>
        <v>0</v>
      </c>
      <c r="N61" s="16" t="e">
        <f t="shared" si="4"/>
        <v>#DIV/0!</v>
      </c>
      <c r="O61" s="16"/>
      <c r="P61" s="52">
        <f t="shared" si="5"/>
        <v>0</v>
      </c>
    </row>
    <row r="62" spans="9:16" x14ac:dyDescent="0.25">
      <c r="I62" s="14">
        <f t="shared" si="0"/>
        <v>0</v>
      </c>
      <c r="K62" s="14">
        <f t="shared" si="1"/>
        <v>0</v>
      </c>
      <c r="L62" s="16" t="e">
        <f t="shared" si="2"/>
        <v>#DIV/0!</v>
      </c>
      <c r="M62" s="14">
        <f t="shared" si="3"/>
        <v>0</v>
      </c>
      <c r="N62" s="16" t="e">
        <f t="shared" si="4"/>
        <v>#DIV/0!</v>
      </c>
      <c r="O62" s="16"/>
      <c r="P62" s="52">
        <f t="shared" si="5"/>
        <v>0</v>
      </c>
    </row>
    <row r="63" spans="9:16" x14ac:dyDescent="0.25">
      <c r="I63" s="14">
        <f t="shared" si="0"/>
        <v>0</v>
      </c>
      <c r="K63" s="14">
        <f t="shared" si="1"/>
        <v>0</v>
      </c>
      <c r="L63" s="16" t="e">
        <f t="shared" si="2"/>
        <v>#DIV/0!</v>
      </c>
      <c r="M63" s="14">
        <f t="shared" si="3"/>
        <v>0</v>
      </c>
      <c r="N63" s="16" t="e">
        <f t="shared" si="4"/>
        <v>#DIV/0!</v>
      </c>
      <c r="O63" s="16"/>
      <c r="P63" s="52">
        <f t="shared" si="5"/>
        <v>0</v>
      </c>
    </row>
    <row r="64" spans="9:16" x14ac:dyDescent="0.25">
      <c r="I64" s="14">
        <f t="shared" si="0"/>
        <v>0</v>
      </c>
      <c r="K64" s="14">
        <f t="shared" si="1"/>
        <v>0</v>
      </c>
      <c r="L64" s="16" t="e">
        <f t="shared" si="2"/>
        <v>#DIV/0!</v>
      </c>
      <c r="M64" s="14">
        <f t="shared" si="3"/>
        <v>0</v>
      </c>
      <c r="N64" s="16" t="e">
        <f t="shared" si="4"/>
        <v>#DIV/0!</v>
      </c>
      <c r="O64" s="16"/>
      <c r="P64" s="52">
        <f t="shared" si="5"/>
        <v>0</v>
      </c>
    </row>
    <row r="65" spans="9:16" x14ac:dyDescent="0.25">
      <c r="I65" s="14">
        <f t="shared" si="0"/>
        <v>0</v>
      </c>
      <c r="K65" s="14">
        <f t="shared" si="1"/>
        <v>0</v>
      </c>
      <c r="L65" s="16" t="e">
        <f t="shared" si="2"/>
        <v>#DIV/0!</v>
      </c>
      <c r="M65" s="14">
        <f t="shared" si="3"/>
        <v>0</v>
      </c>
      <c r="N65" s="16" t="e">
        <f t="shared" si="4"/>
        <v>#DIV/0!</v>
      </c>
      <c r="O65" s="16"/>
      <c r="P65" s="52">
        <f t="shared" si="5"/>
        <v>0</v>
      </c>
    </row>
    <row r="66" spans="9:16" x14ac:dyDescent="0.25">
      <c r="I66" s="14">
        <f t="shared" si="0"/>
        <v>0</v>
      </c>
      <c r="K66" s="14">
        <f t="shared" si="1"/>
        <v>0</v>
      </c>
      <c r="L66" s="16" t="e">
        <f t="shared" si="2"/>
        <v>#DIV/0!</v>
      </c>
      <c r="M66" s="14">
        <f t="shared" si="3"/>
        <v>0</v>
      </c>
      <c r="N66" s="16" t="e">
        <f t="shared" si="4"/>
        <v>#DIV/0!</v>
      </c>
      <c r="O66" s="16"/>
      <c r="P66" s="52">
        <f t="shared" si="5"/>
        <v>0</v>
      </c>
    </row>
    <row r="67" spans="9:16" x14ac:dyDescent="0.25">
      <c r="I67" s="14">
        <f t="shared" si="0"/>
        <v>0</v>
      </c>
      <c r="K67" s="14">
        <f t="shared" si="1"/>
        <v>0</v>
      </c>
      <c r="L67" s="16" t="e">
        <f t="shared" si="2"/>
        <v>#DIV/0!</v>
      </c>
      <c r="M67" s="14">
        <f t="shared" si="3"/>
        <v>0</v>
      </c>
      <c r="N67" s="16" t="e">
        <f t="shared" si="4"/>
        <v>#DIV/0!</v>
      </c>
      <c r="O67" s="16"/>
      <c r="P67" s="52">
        <f t="shared" si="5"/>
        <v>0</v>
      </c>
    </row>
    <row r="68" spans="9:16" x14ac:dyDescent="0.25">
      <c r="I68" s="14">
        <f t="shared" si="0"/>
        <v>0</v>
      </c>
      <c r="K68" s="14">
        <f t="shared" si="1"/>
        <v>0</v>
      </c>
      <c r="L68" s="16" t="e">
        <f t="shared" si="2"/>
        <v>#DIV/0!</v>
      </c>
      <c r="M68" s="14">
        <f t="shared" si="3"/>
        <v>0</v>
      </c>
      <c r="N68" s="16" t="e">
        <f t="shared" si="4"/>
        <v>#DIV/0!</v>
      </c>
      <c r="O68" s="16"/>
      <c r="P68" s="52">
        <f t="shared" si="5"/>
        <v>0</v>
      </c>
    </row>
    <row r="69" spans="9:16" x14ac:dyDescent="0.25">
      <c r="I69" s="14">
        <f t="shared" si="0"/>
        <v>0</v>
      </c>
      <c r="K69" s="14">
        <f t="shared" si="1"/>
        <v>0</v>
      </c>
      <c r="L69" s="16" t="e">
        <f t="shared" si="2"/>
        <v>#DIV/0!</v>
      </c>
      <c r="M69" s="14">
        <f t="shared" si="3"/>
        <v>0</v>
      </c>
      <c r="N69" s="16" t="e">
        <f t="shared" si="4"/>
        <v>#DIV/0!</v>
      </c>
      <c r="O69" s="16"/>
      <c r="P69" s="52">
        <f t="shared" si="5"/>
        <v>0</v>
      </c>
    </row>
    <row r="70" spans="9:16" x14ac:dyDescent="0.25">
      <c r="I70" s="14">
        <f t="shared" ref="I70:I75" si="6">H70*E70</f>
        <v>0</v>
      </c>
      <c r="K70" s="14">
        <f t="shared" ref="K70:K75" si="7">(J70-G70)</f>
        <v>0</v>
      </c>
      <c r="L70" s="16" t="e">
        <f t="shared" ref="L70:L75" si="8">(K70/G70)</f>
        <v>#DIV/0!</v>
      </c>
      <c r="M70" s="14">
        <f t="shared" ref="M70:M75" si="9">(F70-J70)</f>
        <v>0</v>
      </c>
      <c r="N70" s="16" t="e">
        <f t="shared" ref="N70:N75" si="10">(M70/F70)</f>
        <v>#DIV/0!</v>
      </c>
      <c r="O70" s="16"/>
      <c r="P70" s="52">
        <f t="shared" ref="P70:P75" si="11">G70*O70</f>
        <v>0</v>
      </c>
    </row>
    <row r="71" spans="9:16" x14ac:dyDescent="0.25">
      <c r="I71" s="14">
        <f t="shared" si="6"/>
        <v>0</v>
      </c>
      <c r="K71" s="14">
        <f t="shared" si="7"/>
        <v>0</v>
      </c>
      <c r="L71" s="16" t="e">
        <f t="shared" si="8"/>
        <v>#DIV/0!</v>
      </c>
      <c r="M71" s="14">
        <f t="shared" si="9"/>
        <v>0</v>
      </c>
      <c r="N71" s="16" t="e">
        <f t="shared" si="10"/>
        <v>#DIV/0!</v>
      </c>
      <c r="O71" s="16"/>
      <c r="P71" s="52">
        <f t="shared" si="11"/>
        <v>0</v>
      </c>
    </row>
    <row r="72" spans="9:16" x14ac:dyDescent="0.25">
      <c r="I72" s="14">
        <f t="shared" si="6"/>
        <v>0</v>
      </c>
      <c r="K72" s="14">
        <f t="shared" si="7"/>
        <v>0</v>
      </c>
      <c r="L72" s="16" t="e">
        <f t="shared" si="8"/>
        <v>#DIV/0!</v>
      </c>
      <c r="M72" s="14">
        <f t="shared" si="9"/>
        <v>0</v>
      </c>
      <c r="N72" s="16" t="e">
        <f t="shared" si="10"/>
        <v>#DIV/0!</v>
      </c>
      <c r="O72" s="16"/>
      <c r="P72" s="52">
        <f t="shared" si="11"/>
        <v>0</v>
      </c>
    </row>
    <row r="73" spans="9:16" x14ac:dyDescent="0.25">
      <c r="I73" s="14">
        <f t="shared" si="6"/>
        <v>0</v>
      </c>
      <c r="K73" s="14">
        <f t="shared" si="7"/>
        <v>0</v>
      </c>
      <c r="L73" s="16" t="e">
        <f t="shared" si="8"/>
        <v>#DIV/0!</v>
      </c>
      <c r="M73" s="14">
        <f t="shared" si="9"/>
        <v>0</v>
      </c>
      <c r="N73" s="16" t="e">
        <f t="shared" si="10"/>
        <v>#DIV/0!</v>
      </c>
      <c r="O73" s="16"/>
      <c r="P73" s="52">
        <f t="shared" si="11"/>
        <v>0</v>
      </c>
    </row>
    <row r="74" spans="9:16" x14ac:dyDescent="0.25">
      <c r="I74" s="14">
        <f t="shared" si="6"/>
        <v>0</v>
      </c>
      <c r="K74" s="14">
        <f t="shared" si="7"/>
        <v>0</v>
      </c>
      <c r="L74" s="16" t="e">
        <f t="shared" si="8"/>
        <v>#DIV/0!</v>
      </c>
      <c r="M74" s="14">
        <f t="shared" si="9"/>
        <v>0</v>
      </c>
      <c r="N74" s="16" t="e">
        <f t="shared" si="10"/>
        <v>#DIV/0!</v>
      </c>
      <c r="O74" s="16"/>
      <c r="P74" s="52">
        <f t="shared" si="11"/>
        <v>0</v>
      </c>
    </row>
    <row r="75" spans="9:16" x14ac:dyDescent="0.25">
      <c r="I75" s="14">
        <f t="shared" si="6"/>
        <v>0</v>
      </c>
      <c r="K75" s="14">
        <f t="shared" si="7"/>
        <v>0</v>
      </c>
      <c r="L75" s="16" t="e">
        <f t="shared" si="8"/>
        <v>#DIV/0!</v>
      </c>
      <c r="M75" s="14">
        <f t="shared" si="9"/>
        <v>0</v>
      </c>
      <c r="N75" s="16" t="e">
        <f t="shared" si="10"/>
        <v>#DIV/0!</v>
      </c>
      <c r="O75" s="16"/>
      <c r="P75" s="52">
        <f t="shared" si="11"/>
        <v>0</v>
      </c>
    </row>
  </sheetData>
  <mergeCells count="1">
    <mergeCell ref="O3:P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5"/>
  <sheetViews>
    <sheetView topLeftCell="A13" zoomScale="80" zoomScaleNormal="80" workbookViewId="0">
      <selection activeCell="M13" sqref="M13"/>
    </sheetView>
  </sheetViews>
  <sheetFormatPr defaultRowHeight="15" x14ac:dyDescent="0.25"/>
  <cols>
    <col min="2" max="2" width="9.140625" style="11"/>
    <col min="3" max="3" width="28.42578125" bestFit="1" customWidth="1"/>
    <col min="4" max="4" width="9.140625" style="11"/>
    <col min="5" max="5" width="20.7109375" bestFit="1" customWidth="1"/>
    <col min="6" max="6" width="12.140625" customWidth="1"/>
    <col min="7" max="7" width="11.85546875" customWidth="1"/>
    <col min="8" max="8" width="12.140625" bestFit="1" customWidth="1"/>
    <col min="9" max="9" width="13.140625" bestFit="1" customWidth="1"/>
    <col min="10" max="10" width="12.85546875" customWidth="1"/>
    <col min="11" max="11" width="15.85546875" customWidth="1"/>
  </cols>
  <sheetData>
    <row r="3" spans="2:11" ht="85.5" x14ac:dyDescent="0.25">
      <c r="B3" s="55" t="s">
        <v>0</v>
      </c>
      <c r="C3" s="55" t="s">
        <v>194</v>
      </c>
      <c r="D3" s="55" t="s">
        <v>43</v>
      </c>
      <c r="E3" s="56" t="s">
        <v>44</v>
      </c>
      <c r="F3" s="57" t="s">
        <v>195</v>
      </c>
      <c r="G3" s="57" t="s">
        <v>196</v>
      </c>
      <c r="H3" s="57" t="s">
        <v>197</v>
      </c>
      <c r="I3" s="57" t="s">
        <v>198</v>
      </c>
      <c r="J3" s="56" t="s">
        <v>199</v>
      </c>
      <c r="K3" s="56" t="s">
        <v>200</v>
      </c>
    </row>
    <row r="4" spans="2:11" x14ac:dyDescent="0.25">
      <c r="B4" s="61">
        <v>1</v>
      </c>
      <c r="C4" s="37" t="s">
        <v>19</v>
      </c>
      <c r="D4" s="61">
        <v>1</v>
      </c>
      <c r="E4" s="38">
        <v>4490</v>
      </c>
      <c r="F4" s="38">
        <v>3864</v>
      </c>
      <c r="G4" s="38">
        <v>4100</v>
      </c>
      <c r="H4" s="62">
        <v>3740</v>
      </c>
      <c r="I4" s="62">
        <f>H4 - F4</f>
        <v>-124</v>
      </c>
      <c r="J4" s="62">
        <f>I4*D4</f>
        <v>-124</v>
      </c>
      <c r="K4" s="58" t="s">
        <v>201</v>
      </c>
    </row>
    <row r="5" spans="2:11" x14ac:dyDescent="0.25">
      <c r="B5" s="61">
        <v>2</v>
      </c>
      <c r="C5" s="37" t="s">
        <v>168</v>
      </c>
      <c r="D5" s="61">
        <v>1</v>
      </c>
      <c r="E5" s="38">
        <v>3280</v>
      </c>
      <c r="F5" s="38">
        <v>2688</v>
      </c>
      <c r="G5" s="38">
        <v>3000</v>
      </c>
      <c r="H5" s="62">
        <v>2000</v>
      </c>
      <c r="I5" s="62">
        <f t="shared" ref="I5:I11" si="0">H5 - F5</f>
        <v>-688</v>
      </c>
      <c r="J5" s="62">
        <f t="shared" ref="J5:J11" si="1">I5*D5</f>
        <v>-688</v>
      </c>
      <c r="K5" s="58" t="s">
        <v>201</v>
      </c>
    </row>
    <row r="6" spans="2:11" x14ac:dyDescent="0.25">
      <c r="B6" s="61">
        <v>3</v>
      </c>
      <c r="C6" s="37" t="s">
        <v>58</v>
      </c>
      <c r="D6" s="61">
        <v>1</v>
      </c>
      <c r="E6" s="61">
        <v>500</v>
      </c>
      <c r="F6" s="38">
        <v>367.5</v>
      </c>
      <c r="G6" s="61">
        <v>425</v>
      </c>
      <c r="H6" s="61" t="s">
        <v>207</v>
      </c>
      <c r="I6" s="62" t="e">
        <f t="shared" si="0"/>
        <v>#VALUE!</v>
      </c>
      <c r="J6" s="62" t="e">
        <f t="shared" si="1"/>
        <v>#VALUE!</v>
      </c>
      <c r="K6" s="63"/>
    </row>
    <row r="7" spans="2:11" x14ac:dyDescent="0.25">
      <c r="B7" s="61">
        <v>4</v>
      </c>
      <c r="C7" s="37" t="s">
        <v>59</v>
      </c>
      <c r="D7" s="61">
        <v>1</v>
      </c>
      <c r="E7" s="61">
        <v>456</v>
      </c>
      <c r="F7" s="61">
        <v>36.47</v>
      </c>
      <c r="G7" s="61">
        <v>37.5</v>
      </c>
      <c r="H7" s="61" t="s">
        <v>207</v>
      </c>
      <c r="I7" s="62" t="e">
        <f t="shared" si="0"/>
        <v>#VALUE!</v>
      </c>
      <c r="J7" s="62" t="e">
        <f t="shared" si="1"/>
        <v>#VALUE!</v>
      </c>
      <c r="K7" s="63"/>
    </row>
    <row r="8" spans="2:11" x14ac:dyDescent="0.25">
      <c r="B8" s="61">
        <v>5</v>
      </c>
      <c r="C8" s="37" t="s">
        <v>169</v>
      </c>
      <c r="D8" s="61">
        <v>1</v>
      </c>
      <c r="E8" s="61">
        <v>1340</v>
      </c>
      <c r="F8" s="61">
        <v>1316</v>
      </c>
      <c r="G8" s="61">
        <v>1340</v>
      </c>
      <c r="H8" s="61" t="s">
        <v>207</v>
      </c>
      <c r="I8" s="62" t="e">
        <f t="shared" si="0"/>
        <v>#VALUE!</v>
      </c>
      <c r="J8" s="62" t="e">
        <f t="shared" si="1"/>
        <v>#VALUE!</v>
      </c>
      <c r="K8" s="63"/>
    </row>
    <row r="9" spans="2:11" x14ac:dyDescent="0.25">
      <c r="B9" s="61">
        <v>6</v>
      </c>
      <c r="C9" s="37" t="s">
        <v>170</v>
      </c>
      <c r="D9" s="61">
        <v>1</v>
      </c>
      <c r="E9" s="61">
        <v>740</v>
      </c>
      <c r="F9" s="38">
        <v>504</v>
      </c>
      <c r="G9" s="61">
        <v>600</v>
      </c>
      <c r="H9" s="61" t="s">
        <v>207</v>
      </c>
      <c r="I9" s="62" t="e">
        <f t="shared" si="0"/>
        <v>#VALUE!</v>
      </c>
      <c r="J9" s="62" t="e">
        <f t="shared" si="1"/>
        <v>#VALUE!</v>
      </c>
      <c r="K9" s="63"/>
    </row>
    <row r="10" spans="2:11" x14ac:dyDescent="0.25">
      <c r="B10" s="61">
        <v>7</v>
      </c>
      <c r="C10" s="37" t="s">
        <v>171</v>
      </c>
      <c r="D10" s="61">
        <v>1</v>
      </c>
      <c r="E10" s="61">
        <v>700</v>
      </c>
      <c r="F10" s="38">
        <v>616</v>
      </c>
      <c r="G10" s="61">
        <v>650</v>
      </c>
      <c r="H10" s="61" t="s">
        <v>207</v>
      </c>
      <c r="I10" s="62" t="e">
        <f t="shared" si="0"/>
        <v>#VALUE!</v>
      </c>
      <c r="J10" s="62" t="e">
        <f t="shared" si="1"/>
        <v>#VALUE!</v>
      </c>
      <c r="K10" s="63"/>
    </row>
    <row r="11" spans="2:11" x14ac:dyDescent="0.25">
      <c r="B11" s="61">
        <v>8</v>
      </c>
      <c r="C11" s="37" t="s">
        <v>155</v>
      </c>
      <c r="D11" s="61">
        <v>1</v>
      </c>
      <c r="E11" s="61">
        <v>250</v>
      </c>
      <c r="F11" s="38">
        <v>196</v>
      </c>
      <c r="G11" s="61">
        <v>225</v>
      </c>
      <c r="H11" s="61">
        <v>150</v>
      </c>
      <c r="I11" s="62">
        <f t="shared" si="0"/>
        <v>-46</v>
      </c>
      <c r="J11" s="62">
        <f t="shared" si="1"/>
        <v>-46</v>
      </c>
      <c r="K11" s="61" t="s">
        <v>201</v>
      </c>
    </row>
    <row r="12" spans="2:11" x14ac:dyDescent="0.25">
      <c r="I12" s="59" t="s">
        <v>202</v>
      </c>
      <c r="J12" s="60">
        <f>SUM(J4+J11)</f>
        <v>-170</v>
      </c>
    </row>
    <row r="13" spans="2:11" x14ac:dyDescent="0.25">
      <c r="J13" s="67"/>
    </row>
    <row r="14" spans="2:11" x14ac:dyDescent="0.25">
      <c r="B14" s="11">
        <v>1</v>
      </c>
      <c r="C14" s="64" t="s">
        <v>59</v>
      </c>
      <c r="D14" s="11">
        <v>10</v>
      </c>
      <c r="E14" s="65">
        <v>45.6</v>
      </c>
      <c r="F14" s="66">
        <v>36.57</v>
      </c>
      <c r="G14" s="65">
        <v>37.57</v>
      </c>
      <c r="H14" s="11" t="s">
        <v>62</v>
      </c>
      <c r="I14" s="11">
        <v>0</v>
      </c>
      <c r="J14" s="67">
        <f>I14*D14</f>
        <v>0</v>
      </c>
    </row>
    <row r="15" spans="2:11" x14ac:dyDescent="0.25">
      <c r="B15" s="11">
        <v>2</v>
      </c>
      <c r="C15" s="64" t="s">
        <v>59</v>
      </c>
      <c r="D15" s="11">
        <v>20</v>
      </c>
      <c r="E15" s="65">
        <v>45.6</v>
      </c>
      <c r="F15" s="66">
        <v>36.57</v>
      </c>
      <c r="G15" s="65">
        <v>37.57</v>
      </c>
      <c r="H15" s="65">
        <v>35</v>
      </c>
      <c r="I15" s="14">
        <f>H15-F15</f>
        <v>-1.5700000000000003</v>
      </c>
      <c r="J15" s="67">
        <f t="shared" ref="J15:J18" si="2">I15*D15</f>
        <v>-31.400000000000006</v>
      </c>
      <c r="K15" t="s">
        <v>203</v>
      </c>
    </row>
    <row r="16" spans="2:11" x14ac:dyDescent="0.25">
      <c r="B16" s="11">
        <v>3</v>
      </c>
      <c r="C16" s="64" t="s">
        <v>59</v>
      </c>
      <c r="D16" s="11">
        <v>20</v>
      </c>
      <c r="E16" s="65">
        <v>45.6</v>
      </c>
      <c r="F16" s="66">
        <v>36.57</v>
      </c>
      <c r="G16" s="65">
        <v>37.57</v>
      </c>
      <c r="H16" s="65">
        <v>37</v>
      </c>
      <c r="I16" s="14">
        <f>H16-F16</f>
        <v>0.42999999999999972</v>
      </c>
      <c r="J16" s="67">
        <f t="shared" si="2"/>
        <v>8.5999999999999943</v>
      </c>
      <c r="K16" t="s">
        <v>204</v>
      </c>
    </row>
    <row r="17" spans="2:11" x14ac:dyDescent="0.25">
      <c r="B17" s="11">
        <v>4</v>
      </c>
      <c r="C17" s="64" t="s">
        <v>59</v>
      </c>
      <c r="D17" s="11">
        <v>20</v>
      </c>
      <c r="E17" s="65">
        <v>45.6</v>
      </c>
      <c r="F17" s="66">
        <v>36.57</v>
      </c>
      <c r="G17" s="65">
        <v>37.57</v>
      </c>
      <c r="H17" s="11" t="s">
        <v>62</v>
      </c>
      <c r="I17" s="14">
        <v>0</v>
      </c>
      <c r="J17" s="67">
        <f t="shared" si="2"/>
        <v>0</v>
      </c>
    </row>
    <row r="18" spans="2:11" x14ac:dyDescent="0.25">
      <c r="I18" s="14">
        <f t="shared" ref="I18" si="3">H18-F18</f>
        <v>0</v>
      </c>
      <c r="J18" s="67">
        <f t="shared" si="2"/>
        <v>0</v>
      </c>
    </row>
    <row r="20" spans="2:11" x14ac:dyDescent="0.25">
      <c r="I20" s="59" t="s">
        <v>202</v>
      </c>
      <c r="J20" s="60">
        <f>SUM(J14:J18)</f>
        <v>-22.800000000000011</v>
      </c>
    </row>
    <row r="21" spans="2:11" x14ac:dyDescent="0.25">
      <c r="I21" s="68"/>
    </row>
    <row r="22" spans="2:11" x14ac:dyDescent="0.25">
      <c r="B22" s="11">
        <v>1</v>
      </c>
      <c r="C22" t="s">
        <v>180</v>
      </c>
      <c r="D22" s="11">
        <v>1</v>
      </c>
      <c r="E22" s="11">
        <v>600</v>
      </c>
      <c r="F22" s="46">
        <v>150</v>
      </c>
      <c r="G22" s="11">
        <v>250</v>
      </c>
      <c r="H22" s="14">
        <v>185</v>
      </c>
      <c r="I22" s="14">
        <f>H22-F22</f>
        <v>35</v>
      </c>
      <c r="J22" s="14">
        <f>I22*D22</f>
        <v>35</v>
      </c>
      <c r="K22" t="s">
        <v>204</v>
      </c>
    </row>
    <row r="23" spans="2:11" x14ac:dyDescent="0.25">
      <c r="B23" s="11">
        <v>2</v>
      </c>
      <c r="C23" t="s">
        <v>181</v>
      </c>
      <c r="D23" s="11">
        <v>1</v>
      </c>
      <c r="E23" s="11">
        <v>600</v>
      </c>
      <c r="F23" s="46">
        <v>150</v>
      </c>
      <c r="G23" s="11">
        <v>250</v>
      </c>
      <c r="H23" s="14">
        <v>185</v>
      </c>
      <c r="I23" s="14">
        <f t="shared" ref="I23:I25" si="4">H23-F23</f>
        <v>35</v>
      </c>
      <c r="J23" s="14">
        <f t="shared" ref="J23:J25" si="5">I23*D23</f>
        <v>35</v>
      </c>
      <c r="K23" t="s">
        <v>204</v>
      </c>
    </row>
    <row r="24" spans="2:11" x14ac:dyDescent="0.25">
      <c r="B24" s="11">
        <v>3</v>
      </c>
      <c r="C24" t="s">
        <v>205</v>
      </c>
      <c r="D24" s="11">
        <v>1</v>
      </c>
      <c r="E24" s="11">
        <v>309</v>
      </c>
      <c r="F24" s="46">
        <v>200</v>
      </c>
      <c r="G24" s="11">
        <v>250</v>
      </c>
      <c r="H24" s="14">
        <f t="shared" ref="H24" si="6">G24*D24</f>
        <v>250</v>
      </c>
      <c r="I24" s="14">
        <f t="shared" si="4"/>
        <v>50</v>
      </c>
      <c r="J24" s="14">
        <f t="shared" si="5"/>
        <v>50</v>
      </c>
      <c r="K24" t="s">
        <v>204</v>
      </c>
    </row>
    <row r="25" spans="2:11" x14ac:dyDescent="0.25">
      <c r="B25" s="11">
        <v>4</v>
      </c>
      <c r="C25" t="s">
        <v>206</v>
      </c>
      <c r="D25" s="11">
        <v>1</v>
      </c>
      <c r="E25" s="11">
        <v>309</v>
      </c>
      <c r="F25" s="46">
        <v>200</v>
      </c>
      <c r="G25" s="11">
        <v>250</v>
      </c>
      <c r="H25" s="14">
        <f>G25*D25</f>
        <v>250</v>
      </c>
      <c r="I25" s="14">
        <f t="shared" si="4"/>
        <v>50</v>
      </c>
      <c r="J25" s="14">
        <f t="shared" si="5"/>
        <v>50</v>
      </c>
      <c r="K25" t="s">
        <v>204</v>
      </c>
    </row>
    <row r="27" spans="2:11" x14ac:dyDescent="0.25">
      <c r="I27" s="59" t="s">
        <v>202</v>
      </c>
      <c r="J27" s="60">
        <f>SUM(J22:J25)</f>
        <v>170</v>
      </c>
    </row>
    <row r="29" spans="2:11" ht="48" customHeight="1" x14ac:dyDescent="0.25">
      <c r="E29" s="11" t="s">
        <v>209</v>
      </c>
      <c r="F29" s="69" t="s">
        <v>210</v>
      </c>
      <c r="G29" s="4" t="s">
        <v>215</v>
      </c>
      <c r="H29" s="4" t="s">
        <v>211</v>
      </c>
      <c r="I29" s="4" t="s">
        <v>212</v>
      </c>
      <c r="J29" s="69" t="s">
        <v>172</v>
      </c>
    </row>
    <row r="30" spans="2:11" x14ac:dyDescent="0.25">
      <c r="B30" s="11">
        <v>1</v>
      </c>
      <c r="C30" t="s">
        <v>213</v>
      </c>
      <c r="D30" s="11">
        <v>10</v>
      </c>
      <c r="E30" s="11">
        <v>100</v>
      </c>
      <c r="F30" s="46">
        <v>80</v>
      </c>
      <c r="G30" s="11">
        <v>90</v>
      </c>
      <c r="H30" s="14">
        <v>90</v>
      </c>
      <c r="I30" s="14">
        <f>H30-F30</f>
        <v>10</v>
      </c>
      <c r="J30" s="14">
        <f>I30*D30</f>
        <v>100</v>
      </c>
      <c r="K30" t="s">
        <v>204</v>
      </c>
    </row>
    <row r="31" spans="2:11" x14ac:dyDescent="0.25">
      <c r="B31" s="11">
        <v>2</v>
      </c>
      <c r="C31" t="s">
        <v>214</v>
      </c>
      <c r="D31" s="11">
        <v>5</v>
      </c>
      <c r="E31">
        <v>500</v>
      </c>
      <c r="F31">
        <v>400</v>
      </c>
      <c r="G31">
        <v>450</v>
      </c>
      <c r="H31">
        <v>445</v>
      </c>
      <c r="I31" s="14">
        <f>H31-F31</f>
        <v>45</v>
      </c>
      <c r="J31" s="14">
        <f>I31*D31</f>
        <v>225</v>
      </c>
      <c r="K31" t="s">
        <v>204</v>
      </c>
    </row>
    <row r="32" spans="2:11" x14ac:dyDescent="0.25">
      <c r="B32" s="11">
        <v>3</v>
      </c>
      <c r="C32" t="s">
        <v>208</v>
      </c>
      <c r="D32" s="11">
        <v>4</v>
      </c>
      <c r="E32">
        <v>50</v>
      </c>
      <c r="F32">
        <v>40</v>
      </c>
      <c r="G32">
        <v>45</v>
      </c>
      <c r="H32">
        <v>43</v>
      </c>
      <c r="I32" s="14">
        <f>H32-F32</f>
        <v>3</v>
      </c>
      <c r="J32" s="14">
        <f>I32*D32</f>
        <v>12</v>
      </c>
      <c r="K32" t="s">
        <v>204</v>
      </c>
    </row>
    <row r="33" spans="9:11" x14ac:dyDescent="0.25">
      <c r="J33" s="14"/>
    </row>
    <row r="35" spans="9:11" x14ac:dyDescent="0.25">
      <c r="I35" s="59" t="s">
        <v>202</v>
      </c>
      <c r="J35" s="60">
        <f>SUM(J30:J32)</f>
        <v>337</v>
      </c>
      <c r="K35" t="s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"/>
  <sheetViews>
    <sheetView zoomScale="90" zoomScaleNormal="90" workbookViewId="0">
      <selection activeCell="E3" sqref="E3"/>
    </sheetView>
  </sheetViews>
  <sheetFormatPr defaultRowHeight="15" x14ac:dyDescent="0.25"/>
  <cols>
    <col min="1" max="1" width="9.140625" style="1"/>
    <col min="2" max="2" width="9.140625" style="3"/>
    <col min="3" max="3" width="20" style="1" bestFit="1" customWidth="1"/>
    <col min="4" max="4" width="9.140625" style="3"/>
    <col min="5" max="5" width="11.7109375" style="3" customWidth="1"/>
    <col min="6" max="6" width="15.85546875" style="1" customWidth="1"/>
    <col min="7" max="16384" width="9.140625" style="1"/>
  </cols>
  <sheetData>
    <row r="3" spans="2:6" x14ac:dyDescent="0.25">
      <c r="B3" s="7" t="s">
        <v>4</v>
      </c>
      <c r="C3" s="2" t="s">
        <v>185</v>
      </c>
      <c r="D3" s="7" t="s">
        <v>186</v>
      </c>
      <c r="E3" s="7" t="s">
        <v>187</v>
      </c>
      <c r="F3" s="7" t="s">
        <v>189</v>
      </c>
    </row>
    <row r="4" spans="2:6" x14ac:dyDescent="0.25">
      <c r="B4" s="3">
        <v>1</v>
      </c>
      <c r="C4" s="1" t="s">
        <v>188</v>
      </c>
      <c r="D4" s="3">
        <v>1340</v>
      </c>
      <c r="E4" s="3">
        <v>1340</v>
      </c>
      <c r="F4" s="1" t="s">
        <v>190</v>
      </c>
    </row>
    <row r="5" spans="2:6" x14ac:dyDescent="0.25">
      <c r="B5" s="3">
        <v>2</v>
      </c>
      <c r="C5" s="1" t="s">
        <v>170</v>
      </c>
      <c r="D5" s="3">
        <v>740</v>
      </c>
      <c r="E5" s="3">
        <v>600</v>
      </c>
      <c r="F5" s="1" t="s">
        <v>191</v>
      </c>
    </row>
    <row r="6" spans="2:6" x14ac:dyDescent="0.25">
      <c r="B6" s="3">
        <v>3</v>
      </c>
      <c r="C6" s="1" t="s">
        <v>171</v>
      </c>
      <c r="D6" s="3">
        <v>700</v>
      </c>
      <c r="E6" s="3">
        <v>650</v>
      </c>
      <c r="F6" s="1" t="s">
        <v>192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tabSelected="1" workbookViewId="0">
      <selection activeCell="E9" sqref="E9"/>
    </sheetView>
  </sheetViews>
  <sheetFormatPr defaultRowHeight="15" x14ac:dyDescent="0.25"/>
  <cols>
    <col min="2" max="2" width="5.42578125" style="11" bestFit="1" customWidth="1"/>
    <col min="3" max="3" width="22.140625" customWidth="1"/>
    <col min="4" max="4" width="25.85546875" bestFit="1" customWidth="1"/>
    <col min="5" max="5" width="20.42578125" bestFit="1" customWidth="1"/>
    <col min="6" max="6" width="20.42578125" customWidth="1"/>
    <col min="7" max="7" width="21.28515625" customWidth="1"/>
    <col min="8" max="8" width="18.85546875" customWidth="1"/>
    <col min="9" max="9" width="19.42578125" style="11" customWidth="1"/>
  </cols>
  <sheetData>
    <row r="3" spans="2:9" x14ac:dyDescent="0.25">
      <c r="B3" s="5" t="s">
        <v>4</v>
      </c>
      <c r="C3" s="2" t="s">
        <v>35</v>
      </c>
      <c r="D3" s="2" t="s">
        <v>217</v>
      </c>
      <c r="E3" s="5" t="s">
        <v>36</v>
      </c>
      <c r="F3" s="5" t="s">
        <v>41</v>
      </c>
      <c r="G3" s="5" t="s">
        <v>37</v>
      </c>
      <c r="H3" s="5" t="s">
        <v>11</v>
      </c>
      <c r="I3" s="7" t="s">
        <v>204</v>
      </c>
    </row>
    <row r="4" spans="2:9" x14ac:dyDescent="0.25">
      <c r="B4" s="3">
        <v>1</v>
      </c>
      <c r="C4" s="1" t="s">
        <v>216</v>
      </c>
      <c r="D4" s="1" t="s">
        <v>218</v>
      </c>
      <c r="E4" s="12">
        <v>74939.8</v>
      </c>
      <c r="F4" s="14">
        <v>5890</v>
      </c>
      <c r="G4" s="12">
        <f>(E4-F4)</f>
        <v>69049.8</v>
      </c>
      <c r="H4" s="12">
        <f>G4</f>
        <v>69049.8</v>
      </c>
    </row>
    <row r="5" spans="2:9" x14ac:dyDescent="0.25">
      <c r="B5" s="3">
        <v>2</v>
      </c>
      <c r="C5" s="1" t="s">
        <v>216</v>
      </c>
      <c r="D5" s="77" t="s">
        <v>219</v>
      </c>
      <c r="E5" s="1">
        <v>16000</v>
      </c>
      <c r="F5" s="14">
        <v>1440</v>
      </c>
      <c r="G5" s="12">
        <f t="shared" ref="G5:G9" si="0">(E5-F5)</f>
        <v>14560</v>
      </c>
      <c r="H5" s="12">
        <f t="shared" ref="H5:H9" si="1">G5</f>
        <v>14560</v>
      </c>
    </row>
    <row r="6" spans="2:9" x14ac:dyDescent="0.25">
      <c r="B6" s="3">
        <v>3</v>
      </c>
      <c r="C6" s="77" t="s">
        <v>216</v>
      </c>
      <c r="D6" s="77" t="s">
        <v>220</v>
      </c>
      <c r="E6" s="1">
        <v>700</v>
      </c>
      <c r="F6" s="1">
        <v>870</v>
      </c>
      <c r="G6" s="12">
        <v>0</v>
      </c>
      <c r="H6" s="12">
        <f t="shared" si="1"/>
        <v>0</v>
      </c>
      <c r="I6" s="11">
        <f>SUM(F6-E6)</f>
        <v>170</v>
      </c>
    </row>
    <row r="7" spans="2:9" x14ac:dyDescent="0.25">
      <c r="B7" s="3">
        <v>4</v>
      </c>
      <c r="C7" s="1" t="s">
        <v>216</v>
      </c>
      <c r="D7" s="1" t="s">
        <v>221</v>
      </c>
      <c r="E7" s="1">
        <v>210</v>
      </c>
      <c r="F7" s="1">
        <v>220</v>
      </c>
      <c r="G7" s="12">
        <v>0</v>
      </c>
      <c r="H7" s="12">
        <f t="shared" si="1"/>
        <v>0</v>
      </c>
      <c r="I7" s="11">
        <v>10</v>
      </c>
    </row>
    <row r="8" spans="2:9" x14ac:dyDescent="0.25">
      <c r="G8" s="12">
        <f t="shared" si="0"/>
        <v>0</v>
      </c>
      <c r="H8" s="12">
        <f t="shared" si="1"/>
        <v>0</v>
      </c>
    </row>
    <row r="9" spans="2:9" x14ac:dyDescent="0.25">
      <c r="G9" s="12">
        <f t="shared" si="0"/>
        <v>0</v>
      </c>
      <c r="H9" s="1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list Delivered frm AMTZ</vt:lpstr>
      <vt:lpstr>Sales Update</vt:lpstr>
      <vt:lpstr>Samples Given Details</vt:lpstr>
      <vt:lpstr>Sheet1</vt:lpstr>
      <vt:lpstr>Discount nd profit</vt:lpstr>
      <vt:lpstr>P &amp; L</vt:lpstr>
      <vt:lpstr>Sheet2</vt:lpstr>
      <vt:lpstr>Stock Movement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2025-08-25T04:52:15Z</dcterms:created>
  <dcterms:modified xsi:type="dcterms:W3CDTF">2025-09-27T11:55:25Z</dcterms:modified>
</cp:coreProperties>
</file>