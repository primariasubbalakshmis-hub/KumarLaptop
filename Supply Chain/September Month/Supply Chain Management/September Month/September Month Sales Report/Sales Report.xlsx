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815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J22" i="1" s="1"/>
  <c r="K22" i="1" s="1"/>
  <c r="I21" i="1"/>
  <c r="J21" i="1" s="1"/>
  <c r="K21" i="1" s="1"/>
  <c r="J20" i="1"/>
  <c r="K20" i="1" s="1"/>
  <c r="J19" i="1"/>
  <c r="K19" i="1" s="1"/>
  <c r="K24" i="1" s="1"/>
  <c r="K16" i="1"/>
  <c r="J15" i="1"/>
  <c r="K15" i="1" s="1"/>
  <c r="J14" i="1"/>
  <c r="K14" i="1" s="1"/>
  <c r="K13" i="1"/>
  <c r="J10" i="1"/>
  <c r="K10" i="1" s="1"/>
  <c r="J9" i="1"/>
  <c r="K9" i="1" s="1"/>
  <c r="J8" i="1"/>
  <c r="K8" i="1" s="1"/>
  <c r="J7" i="1"/>
  <c r="K7" i="1" s="1"/>
  <c r="K6" i="1"/>
  <c r="J6" i="1"/>
  <c r="J5" i="1"/>
  <c r="K5" i="1" s="1"/>
  <c r="J4" i="1"/>
  <c r="K4" i="1" s="1"/>
  <c r="K11" i="1" s="1"/>
  <c r="K17" i="1" l="1"/>
</calcChain>
</file>

<file path=xl/sharedStrings.xml><?xml version="1.0" encoding="utf-8"?>
<sst xmlns="http://schemas.openxmlformats.org/spreadsheetml/2006/main" count="60" uniqueCount="33">
  <si>
    <t xml:space="preserve">S.No </t>
  </si>
  <si>
    <t>Account holder</t>
  </si>
  <si>
    <t xml:space="preserve">Product name / Brand Name </t>
  </si>
  <si>
    <t>QTY</t>
  </si>
  <si>
    <t>Box Price (MRP) Rs</t>
  </si>
  <si>
    <t xml:space="preserve">Buying Price ( Unit price  with GST  ) </t>
  </si>
  <si>
    <t xml:space="preserve">Selling price for Each unit  with GST  </t>
  </si>
  <si>
    <t xml:space="preserve">Actual Sale Price </t>
  </si>
  <si>
    <t xml:space="preserve">Loss / Profit Difference </t>
  </si>
  <si>
    <t xml:space="preserve">Net Revenue </t>
  </si>
  <si>
    <t xml:space="preserve">Profit or Loss </t>
  </si>
  <si>
    <t>Srinivasa &amp;Bhavani</t>
  </si>
  <si>
    <t>GIC LUTING KETAC CEM</t>
  </si>
  <si>
    <t xml:space="preserve">Loss </t>
  </si>
  <si>
    <t>3M Ketac Cem</t>
  </si>
  <si>
    <t xml:space="preserve">Samba Siva Rao </t>
  </si>
  <si>
    <t xml:space="preserve">Dental Stone </t>
  </si>
  <si>
    <t xml:space="preserve">Pending </t>
  </si>
  <si>
    <t>GIC Filling Shofu</t>
  </si>
  <si>
    <t>Cotton Rolls</t>
  </si>
  <si>
    <t>Oro Steri Pouch</t>
  </si>
  <si>
    <t xml:space="preserve">Suction tips </t>
  </si>
  <si>
    <t xml:space="preserve">Net Profit </t>
  </si>
  <si>
    <t>LA Bottles</t>
  </si>
  <si>
    <t>Pending</t>
  </si>
  <si>
    <t>Loss</t>
  </si>
  <si>
    <t>Profit</t>
  </si>
  <si>
    <t>Primaria Team</t>
  </si>
  <si>
    <t xml:space="preserve">RC Help </t>
  </si>
  <si>
    <t>RC Cal</t>
  </si>
  <si>
    <t>Mani K- files 15</t>
  </si>
  <si>
    <t>Mani K- files 20</t>
  </si>
  <si>
    <t>Dental Items -Bought in Banglore Expo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</si>
</sst>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0" xfId="0" applyFill="1" applyAlignment="1">
      <alignment horizontal="right"/>
    </xf>
    <xf numFmtId="164" fontId="0" fillId="2" borderId="0" xfId="0" applyNumberFormat="1" applyFill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2" fillId="0" borderId="1" xfId="0" applyFont="1" applyFill="1" applyBorder="1"/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5"/>
  <sheetViews>
    <sheetView tabSelected="1" workbookViewId="0">
      <selection activeCell="M9" sqref="M9"/>
    </sheetView>
  </sheetViews>
  <sheetFormatPr defaultRowHeight="15" x14ac:dyDescent="0.25"/>
  <cols>
    <col min="2" max="2" width="6" bestFit="1" customWidth="1"/>
    <col min="3" max="3" width="18" bestFit="1" customWidth="1"/>
    <col min="4" max="4" width="28.42578125" bestFit="1" customWidth="1"/>
    <col min="5" max="5" width="5.5703125" bestFit="1" customWidth="1"/>
    <col min="6" max="6" width="20.7109375" bestFit="1" customWidth="1"/>
    <col min="7" max="8" width="9.7109375" bestFit="1" customWidth="1"/>
    <col min="9" max="9" width="11.85546875" customWidth="1"/>
    <col min="10" max="10" width="12.5703125" customWidth="1"/>
    <col min="11" max="11" width="14.140625" bestFit="1" customWidth="1"/>
    <col min="12" max="12" width="14.5703125" bestFit="1" customWidth="1"/>
  </cols>
  <sheetData>
    <row r="3" spans="2:12" ht="85.5" x14ac:dyDescent="0.25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2" t="s">
        <v>9</v>
      </c>
      <c r="L3" s="2" t="s">
        <v>10</v>
      </c>
    </row>
    <row r="4" spans="2:12" x14ac:dyDescent="0.25">
      <c r="B4" s="4">
        <v>1</v>
      </c>
      <c r="C4" s="4" t="s">
        <v>11</v>
      </c>
      <c r="D4" s="6" t="s">
        <v>12</v>
      </c>
      <c r="E4" s="4">
        <v>1</v>
      </c>
      <c r="F4" s="7">
        <v>4490</v>
      </c>
      <c r="G4" s="7">
        <v>3864</v>
      </c>
      <c r="H4" s="7">
        <v>4100</v>
      </c>
      <c r="I4" s="8">
        <v>3740</v>
      </c>
      <c r="J4" s="8">
        <f>I4 - G4</f>
        <v>-124</v>
      </c>
      <c r="K4" s="8">
        <f>J4*E4</f>
        <v>-124</v>
      </c>
      <c r="L4" s="9" t="s">
        <v>13</v>
      </c>
    </row>
    <row r="5" spans="2:12" x14ac:dyDescent="0.25">
      <c r="B5" s="4">
        <v>2</v>
      </c>
      <c r="C5" s="4" t="s">
        <v>11</v>
      </c>
      <c r="D5" s="6" t="s">
        <v>14</v>
      </c>
      <c r="E5" s="4">
        <v>1</v>
      </c>
      <c r="F5" s="7">
        <v>3280</v>
      </c>
      <c r="G5" s="7">
        <v>2688</v>
      </c>
      <c r="H5" s="7">
        <v>3000</v>
      </c>
      <c r="I5" s="8">
        <v>2000</v>
      </c>
      <c r="J5" s="8">
        <f t="shared" ref="J5:J10" si="0">I5 - G5</f>
        <v>-688</v>
      </c>
      <c r="K5" s="8">
        <f t="shared" ref="K5:K10" si="1">J5*E5</f>
        <v>-688</v>
      </c>
      <c r="L5" s="9" t="s">
        <v>13</v>
      </c>
    </row>
    <row r="6" spans="2:12" x14ac:dyDescent="0.25">
      <c r="B6" s="4">
        <v>3</v>
      </c>
      <c r="C6" s="4" t="s">
        <v>15</v>
      </c>
      <c r="D6" s="6" t="s">
        <v>16</v>
      </c>
      <c r="E6" s="4">
        <v>1</v>
      </c>
      <c r="F6" s="4">
        <v>500</v>
      </c>
      <c r="G6" s="7">
        <v>367.5</v>
      </c>
      <c r="H6" s="4">
        <v>425</v>
      </c>
      <c r="I6" s="4" t="s">
        <v>17</v>
      </c>
      <c r="J6" s="8" t="e">
        <f t="shared" si="0"/>
        <v>#VALUE!</v>
      </c>
      <c r="K6" s="8" t="e">
        <f t="shared" si="1"/>
        <v>#VALUE!</v>
      </c>
      <c r="L6" s="10"/>
    </row>
    <row r="7" spans="2:12" x14ac:dyDescent="0.25">
      <c r="B7" s="4">
        <v>4</v>
      </c>
      <c r="C7" s="4" t="s">
        <v>11</v>
      </c>
      <c r="D7" s="6" t="s">
        <v>18</v>
      </c>
      <c r="E7" s="4">
        <v>1</v>
      </c>
      <c r="F7" s="4">
        <v>1340</v>
      </c>
      <c r="G7" s="4">
        <v>1316</v>
      </c>
      <c r="H7" s="4">
        <v>1340</v>
      </c>
      <c r="I7" s="4" t="s">
        <v>17</v>
      </c>
      <c r="J7" s="8" t="e">
        <f t="shared" si="0"/>
        <v>#VALUE!</v>
      </c>
      <c r="K7" s="8" t="e">
        <f t="shared" si="1"/>
        <v>#VALUE!</v>
      </c>
      <c r="L7" s="10"/>
    </row>
    <row r="8" spans="2:12" x14ac:dyDescent="0.25">
      <c r="B8" s="4">
        <v>5</v>
      </c>
      <c r="C8" s="4" t="s">
        <v>11</v>
      </c>
      <c r="D8" s="6" t="s">
        <v>19</v>
      </c>
      <c r="E8" s="4">
        <v>1</v>
      </c>
      <c r="F8" s="4">
        <v>740</v>
      </c>
      <c r="G8" s="7">
        <v>504</v>
      </c>
      <c r="H8" s="4">
        <v>600</v>
      </c>
      <c r="I8" s="4" t="s">
        <v>17</v>
      </c>
      <c r="J8" s="8" t="e">
        <f t="shared" si="0"/>
        <v>#VALUE!</v>
      </c>
      <c r="K8" s="8" t="e">
        <f t="shared" si="1"/>
        <v>#VALUE!</v>
      </c>
      <c r="L8" s="10"/>
    </row>
    <row r="9" spans="2:12" x14ac:dyDescent="0.25">
      <c r="B9" s="4">
        <v>6</v>
      </c>
      <c r="C9" s="4" t="s">
        <v>11</v>
      </c>
      <c r="D9" s="6" t="s">
        <v>20</v>
      </c>
      <c r="E9" s="4">
        <v>1</v>
      </c>
      <c r="F9" s="4">
        <v>700</v>
      </c>
      <c r="G9" s="7">
        <v>616</v>
      </c>
      <c r="H9" s="4">
        <v>650</v>
      </c>
      <c r="I9" s="4" t="s">
        <v>17</v>
      </c>
      <c r="J9" s="8" t="e">
        <f t="shared" si="0"/>
        <v>#VALUE!</v>
      </c>
      <c r="K9" s="8" t="e">
        <f t="shared" si="1"/>
        <v>#VALUE!</v>
      </c>
      <c r="L9" s="10"/>
    </row>
    <row r="10" spans="2:12" x14ac:dyDescent="0.25">
      <c r="B10" s="4">
        <v>7</v>
      </c>
      <c r="C10" s="4" t="s">
        <v>11</v>
      </c>
      <c r="D10" s="6" t="s">
        <v>21</v>
      </c>
      <c r="E10" s="4">
        <v>1</v>
      </c>
      <c r="F10" s="4">
        <v>250</v>
      </c>
      <c r="G10" s="7">
        <v>196</v>
      </c>
      <c r="H10" s="4">
        <v>225</v>
      </c>
      <c r="I10" s="4">
        <v>150</v>
      </c>
      <c r="J10" s="8">
        <f t="shared" si="0"/>
        <v>-46</v>
      </c>
      <c r="K10" s="8">
        <f t="shared" si="1"/>
        <v>-46</v>
      </c>
      <c r="L10" s="4" t="s">
        <v>13</v>
      </c>
    </row>
    <row r="11" spans="2:12" x14ac:dyDescent="0.25">
      <c r="B11" s="5"/>
      <c r="C11" s="5"/>
      <c r="E11" s="5"/>
      <c r="J11" s="11" t="s">
        <v>22</v>
      </c>
      <c r="K11" s="12">
        <f>SUM(K4+K10)</f>
        <v>-170</v>
      </c>
    </row>
    <row r="12" spans="2:12" x14ac:dyDescent="0.25">
      <c r="B12" s="5"/>
      <c r="C12" s="5"/>
      <c r="E12" s="5"/>
      <c r="K12" s="13"/>
    </row>
    <row r="13" spans="2:12" x14ac:dyDescent="0.25">
      <c r="B13" s="4">
        <v>1</v>
      </c>
      <c r="C13" s="4" t="s">
        <v>15</v>
      </c>
      <c r="D13" s="15" t="s">
        <v>23</v>
      </c>
      <c r="E13" s="4">
        <v>10</v>
      </c>
      <c r="F13" s="16">
        <v>45.6</v>
      </c>
      <c r="G13" s="17">
        <v>36.57</v>
      </c>
      <c r="H13" s="16">
        <v>37.57</v>
      </c>
      <c r="I13" s="4" t="s">
        <v>24</v>
      </c>
      <c r="J13" s="4">
        <v>0</v>
      </c>
      <c r="K13" s="18">
        <f>J13*E13</f>
        <v>0</v>
      </c>
      <c r="L13" s="10"/>
    </row>
    <row r="14" spans="2:12" x14ac:dyDescent="0.25">
      <c r="B14" s="4">
        <v>2</v>
      </c>
      <c r="C14" s="4" t="s">
        <v>15</v>
      </c>
      <c r="D14" s="15" t="s">
        <v>23</v>
      </c>
      <c r="E14" s="4">
        <v>20</v>
      </c>
      <c r="F14" s="16">
        <v>45.6</v>
      </c>
      <c r="G14" s="17">
        <v>36.57</v>
      </c>
      <c r="H14" s="16">
        <v>37.57</v>
      </c>
      <c r="I14" s="16">
        <v>35</v>
      </c>
      <c r="J14" s="8">
        <f>I14-G14</f>
        <v>-1.5700000000000003</v>
      </c>
      <c r="K14" s="18">
        <f t="shared" ref="K14:K16" si="2">J14*E14</f>
        <v>-31.400000000000006</v>
      </c>
      <c r="L14" s="10" t="s">
        <v>25</v>
      </c>
    </row>
    <row r="15" spans="2:12" x14ac:dyDescent="0.25">
      <c r="B15" s="4">
        <v>3</v>
      </c>
      <c r="C15" s="4" t="s">
        <v>11</v>
      </c>
      <c r="D15" s="15" t="s">
        <v>23</v>
      </c>
      <c r="E15" s="4">
        <v>20</v>
      </c>
      <c r="F15" s="16">
        <v>45.6</v>
      </c>
      <c r="G15" s="17">
        <v>36.57</v>
      </c>
      <c r="H15" s="16">
        <v>37.57</v>
      </c>
      <c r="I15" s="16">
        <v>37</v>
      </c>
      <c r="J15" s="8">
        <f>I15-G15</f>
        <v>0.42999999999999972</v>
      </c>
      <c r="K15" s="18">
        <f t="shared" si="2"/>
        <v>8.5999999999999943</v>
      </c>
      <c r="L15" s="10" t="s">
        <v>26</v>
      </c>
    </row>
    <row r="16" spans="2:12" x14ac:dyDescent="0.25">
      <c r="B16" s="4">
        <v>4</v>
      </c>
      <c r="C16" s="4" t="s">
        <v>11</v>
      </c>
      <c r="D16" s="15" t="s">
        <v>23</v>
      </c>
      <c r="E16" s="4">
        <v>20</v>
      </c>
      <c r="F16" s="16">
        <v>45.6</v>
      </c>
      <c r="G16" s="17">
        <v>36.57</v>
      </c>
      <c r="H16" s="16">
        <v>37.57</v>
      </c>
      <c r="I16" s="4" t="s">
        <v>24</v>
      </c>
      <c r="J16" s="8">
        <v>0</v>
      </c>
      <c r="K16" s="18">
        <f t="shared" si="2"/>
        <v>0</v>
      </c>
      <c r="L16" s="10"/>
    </row>
    <row r="17" spans="2:12" x14ac:dyDescent="0.25">
      <c r="B17" s="5"/>
      <c r="C17" s="5"/>
      <c r="E17" s="5"/>
      <c r="J17" s="11" t="s">
        <v>22</v>
      </c>
      <c r="K17" s="12">
        <f>SUM(K13:K16)</f>
        <v>-22.800000000000011</v>
      </c>
    </row>
    <row r="18" spans="2:12" x14ac:dyDescent="0.25">
      <c r="B18" s="5"/>
      <c r="C18" s="19" t="s">
        <v>32</v>
      </c>
      <c r="D18" s="19"/>
      <c r="E18" s="5"/>
      <c r="J18" s="14"/>
    </row>
    <row r="19" spans="2:12" x14ac:dyDescent="0.25">
      <c r="B19" s="4">
        <v>1</v>
      </c>
      <c r="C19" s="4" t="s">
        <v>27</v>
      </c>
      <c r="D19" s="10" t="s">
        <v>28</v>
      </c>
      <c r="E19" s="4">
        <v>1</v>
      </c>
      <c r="F19" s="4">
        <v>600</v>
      </c>
      <c r="G19" s="7">
        <v>150</v>
      </c>
      <c r="H19" s="4">
        <v>250</v>
      </c>
      <c r="I19" s="8">
        <v>185</v>
      </c>
      <c r="J19" s="8">
        <f>I19-G19</f>
        <v>35</v>
      </c>
      <c r="K19" s="8">
        <f>J19*E19</f>
        <v>35</v>
      </c>
      <c r="L19" s="10" t="s">
        <v>26</v>
      </c>
    </row>
    <row r="20" spans="2:12" x14ac:dyDescent="0.25">
      <c r="B20" s="4">
        <v>2</v>
      </c>
      <c r="C20" s="4" t="s">
        <v>27</v>
      </c>
      <c r="D20" s="10" t="s">
        <v>29</v>
      </c>
      <c r="E20" s="4">
        <v>1</v>
      </c>
      <c r="F20" s="4">
        <v>600</v>
      </c>
      <c r="G20" s="7">
        <v>150</v>
      </c>
      <c r="H20" s="4">
        <v>250</v>
      </c>
      <c r="I20" s="8">
        <v>185</v>
      </c>
      <c r="J20" s="8">
        <f t="shared" ref="J20:J22" si="3">I20-G20</f>
        <v>35</v>
      </c>
      <c r="K20" s="8">
        <f t="shared" ref="K20:K22" si="4">J20*E20</f>
        <v>35</v>
      </c>
      <c r="L20" s="10" t="s">
        <v>26</v>
      </c>
    </row>
    <row r="21" spans="2:12" x14ac:dyDescent="0.25">
      <c r="B21" s="4">
        <v>3</v>
      </c>
      <c r="C21" s="4" t="s">
        <v>27</v>
      </c>
      <c r="D21" s="10" t="s">
        <v>30</v>
      </c>
      <c r="E21" s="4">
        <v>1</v>
      </c>
      <c r="F21" s="4">
        <v>309</v>
      </c>
      <c r="G21" s="7">
        <v>200</v>
      </c>
      <c r="H21" s="4">
        <v>250</v>
      </c>
      <c r="I21" s="8">
        <f t="shared" ref="I21:I25" si="5">H21*E21</f>
        <v>250</v>
      </c>
      <c r="J21" s="8">
        <f t="shared" si="3"/>
        <v>50</v>
      </c>
      <c r="K21" s="8">
        <f t="shared" si="4"/>
        <v>50</v>
      </c>
      <c r="L21" s="10" t="s">
        <v>26</v>
      </c>
    </row>
    <row r="22" spans="2:12" x14ac:dyDescent="0.25">
      <c r="B22" s="4">
        <v>4</v>
      </c>
      <c r="C22" s="4" t="s">
        <v>27</v>
      </c>
      <c r="D22" s="10" t="s">
        <v>31</v>
      </c>
      <c r="E22" s="4">
        <v>1</v>
      </c>
      <c r="F22" s="4">
        <v>309</v>
      </c>
      <c r="G22" s="7">
        <v>200</v>
      </c>
      <c r="H22" s="4">
        <v>250</v>
      </c>
      <c r="I22" s="8">
        <f>H22*E22</f>
        <v>250</v>
      </c>
      <c r="J22" s="8">
        <f t="shared" si="3"/>
        <v>50</v>
      </c>
      <c r="K22" s="8">
        <f t="shared" si="4"/>
        <v>50</v>
      </c>
      <c r="L22" s="10" t="s">
        <v>26</v>
      </c>
    </row>
    <row r="23" spans="2:12" x14ac:dyDescent="0.25">
      <c r="B23" s="5"/>
      <c r="C23" s="5"/>
      <c r="E23" s="5"/>
    </row>
    <row r="24" spans="2:12" x14ac:dyDescent="0.25">
      <c r="B24" s="5"/>
      <c r="C24" s="5"/>
      <c r="E24" s="5"/>
      <c r="J24" s="11" t="s">
        <v>22</v>
      </c>
      <c r="K24" s="12">
        <f>SUM(K19:K22)</f>
        <v>170</v>
      </c>
    </row>
    <row r="25" spans="2:12" x14ac:dyDescent="0.25">
      <c r="B25" s="5"/>
      <c r="C25" s="5"/>
      <c r="E25" s="5"/>
    </row>
  </sheetData>
  <mergeCells count="1"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2025-09-24T13:07:52Z</dcterms:created>
  <dcterms:modified xsi:type="dcterms:W3CDTF">2025-09-24T13:15:04Z</dcterms:modified>
</cp:coreProperties>
</file>