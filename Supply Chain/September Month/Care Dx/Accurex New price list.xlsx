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120" yWindow="15" windowWidth="18960" windowHeight="11325"/>
  </bookViews>
  <sheets>
    <sheet name="Table 1" sheetId="1" r:id="rId1"/>
  </sheets>
  <calcPr calcId="162913"/>
</workbook>
</file>

<file path=xl/calcChain.xml><?xml version="1.0" encoding="utf-8"?>
<calcChain xmlns="http://schemas.openxmlformats.org/spreadsheetml/2006/main">
  <c r="J5" i="1" l="1"/>
  <c r="H32" i="1" l="1"/>
  <c r="M5" i="1"/>
  <c r="M15" i="1" s="1"/>
  <c r="M6" i="1"/>
  <c r="M7" i="1"/>
  <c r="M8" i="1"/>
  <c r="M9" i="1"/>
  <c r="M10" i="1"/>
  <c r="M11" i="1"/>
  <c r="M12" i="1"/>
  <c r="M13" i="1"/>
  <c r="L15" i="1"/>
  <c r="F32" i="1"/>
  <c r="J6" i="1"/>
  <c r="J7" i="1"/>
  <c r="J8" i="1"/>
  <c r="J9" i="1"/>
  <c r="J10" i="1"/>
  <c r="J11" i="1"/>
  <c r="J12" i="1"/>
  <c r="J13" i="1"/>
  <c r="J15" i="1" l="1"/>
  <c r="G15" i="1"/>
  <c r="F15" i="1"/>
</calcChain>
</file>

<file path=xl/sharedStrings.xml><?xml version="1.0" encoding="utf-8"?>
<sst xmlns="http://schemas.openxmlformats.org/spreadsheetml/2006/main" count="63" uniqueCount="30">
  <si>
    <t>Sr. No.</t>
  </si>
  <si>
    <t>Product Name</t>
  </si>
  <si>
    <t>Qty.</t>
  </si>
  <si>
    <t>MRP.</t>
  </si>
  <si>
    <t>DB Cost</t>
  </si>
  <si>
    <t>Customer cost</t>
  </si>
  <si>
    <t>Urea 200 Accurex</t>
  </si>
  <si>
    <t>1 Kit</t>
  </si>
  <si>
    <t>Alkaline Phosphatase 60</t>
  </si>
  <si>
    <t>Uric Acid 50 -Infinite</t>
  </si>
  <si>
    <t>Total Protein 100</t>
  </si>
  <si>
    <t>Albumin 100</t>
  </si>
  <si>
    <t>Tryglycerides 600- Infinite</t>
  </si>
  <si>
    <t>Triglycerides 50- Infinite</t>
  </si>
  <si>
    <t>Calcium Arsenazo Mono Pack-2</t>
  </si>
  <si>
    <r>
      <t xml:space="preserve">Cholesterol </t>
    </r>
    <r>
      <rPr>
        <sz val="10"/>
        <color rgb="FF080808"/>
        <rFont val="Times New Roman"/>
        <family val="1"/>
      </rPr>
      <t xml:space="preserve">50 </t>
    </r>
    <r>
      <rPr>
        <sz val="10"/>
        <rFont val="Times New Roman"/>
        <family val="1"/>
      </rPr>
      <t>Infinite</t>
    </r>
  </si>
  <si>
    <t>GST %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</si>
  <si>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</si>
  <si>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TOTAL : </t>
  </si>
  <si>
    <t>Total</t>
  </si>
  <si>
    <t xml:space="preserve">Total Amount With GST </t>
  </si>
  <si>
    <t>Buying price from AMTZ</t>
  </si>
  <si>
    <t>For Care DX</t>
  </si>
  <si>
    <t xml:space="preserve">GST </t>
  </si>
  <si>
    <t>GST Amt</t>
  </si>
  <si>
    <t>For Care Dx SP</t>
  </si>
  <si>
    <t xml:space="preserve"> Profit 3% in Amt</t>
  </si>
  <si>
    <t xml:space="preserve">Primaria Profit  =   Buying Price + Profit 3% </t>
  </si>
  <si>
    <t>7% Margin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</si>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</sst>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6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color rgb="FF050A1F"/>
      <name val="Times New Roman"/>
      <family val="1"/>
    </font>
    <font>
      <sz val="10"/>
      <color rgb="FF080808"/>
      <name val="Times New Roman"/>
      <family val="1"/>
    </font>
    <font>
      <sz val="10"/>
      <color rgb="FF0F0F0F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/>
    </xf>
    <xf numFmtId="1" fontId="1" fillId="0" borderId="0" xfId="0" applyNumberFormat="1" applyFont="1" applyFill="1" applyBorder="1" applyAlignment="1">
      <alignment horizontal="center" vertical="top" shrinkToFit="1"/>
    </xf>
    <xf numFmtId="10" fontId="1" fillId="0" borderId="0" xfId="0" applyNumberFormat="1" applyFont="1" applyFill="1" applyBorder="1" applyAlignment="1">
      <alignment horizontal="center" vertical="top"/>
    </xf>
    <xf numFmtId="0" fontId="1" fillId="0" borderId="0" xfId="0" applyNumberFormat="1" applyFont="1" applyFill="1" applyBorder="1" applyAlignment="1">
      <alignment horizontal="center" vertical="top"/>
    </xf>
    <xf numFmtId="0" fontId="2" fillId="0" borderId="0" xfId="0" applyNumberFormat="1" applyFont="1" applyFill="1" applyBorder="1" applyAlignment="1">
      <alignment horizontal="center" vertical="top" wrapText="1"/>
    </xf>
    <xf numFmtId="164" fontId="1" fillId="0" borderId="0" xfId="0" applyNumberFormat="1" applyFont="1" applyFill="1" applyBorder="1" applyAlignment="1">
      <alignment horizontal="center" vertical="top"/>
    </xf>
    <xf numFmtId="164" fontId="2" fillId="0" borderId="0" xfId="0" applyNumberFormat="1" applyFont="1" applyFill="1" applyBorder="1" applyAlignment="1">
      <alignment horizontal="center" vertical="top" wrapText="1"/>
    </xf>
    <xf numFmtId="164" fontId="1" fillId="0" borderId="0" xfId="0" applyNumberFormat="1" applyFont="1" applyFill="1" applyBorder="1" applyAlignment="1">
      <alignment horizontal="center" vertical="top" shrinkToFit="1"/>
    </xf>
    <xf numFmtId="1" fontId="1" fillId="0" borderId="0" xfId="0" applyNumberFormat="1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vertical="top"/>
    </xf>
    <xf numFmtId="10" fontId="2" fillId="0" borderId="2" xfId="0" applyNumberFormat="1" applyFont="1" applyFill="1" applyBorder="1" applyAlignment="1">
      <alignment horizontal="center" vertical="top" wrapText="1"/>
    </xf>
    <xf numFmtId="1" fontId="3" fillId="0" borderId="2" xfId="0" applyNumberFormat="1" applyFont="1" applyFill="1" applyBorder="1" applyAlignment="1">
      <alignment horizontal="center" vertical="top" shrinkToFit="1"/>
    </xf>
    <xf numFmtId="0" fontId="2" fillId="0" borderId="2" xfId="0" applyFont="1" applyFill="1" applyBorder="1" applyAlignment="1">
      <alignment horizontal="left" vertical="top"/>
    </xf>
    <xf numFmtId="1" fontId="1" fillId="0" borderId="2" xfId="0" applyNumberFormat="1" applyFont="1" applyFill="1" applyBorder="1" applyAlignment="1">
      <alignment horizontal="center" vertical="top" shrinkToFit="1"/>
    </xf>
    <xf numFmtId="10" fontId="1" fillId="0" borderId="2" xfId="0" applyNumberFormat="1" applyFont="1" applyFill="1" applyBorder="1" applyAlignment="1">
      <alignment horizontal="center" vertical="top" shrinkToFit="1"/>
    </xf>
    <xf numFmtId="0" fontId="1" fillId="0" borderId="2" xfId="0" applyNumberFormat="1" applyFont="1" applyFill="1" applyBorder="1" applyAlignment="1">
      <alignment horizontal="center" vertical="top" shrinkToFit="1"/>
    </xf>
    <xf numFmtId="1" fontId="5" fillId="0" borderId="2" xfId="0" applyNumberFormat="1" applyFont="1" applyFill="1" applyBorder="1" applyAlignment="1">
      <alignment horizontal="center" vertical="top" shrinkToFit="1"/>
    </xf>
    <xf numFmtId="0" fontId="2" fillId="0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/>
    </xf>
    <xf numFmtId="1" fontId="1" fillId="0" borderId="2" xfId="0" applyNumberFormat="1" applyFont="1" applyFill="1" applyBorder="1" applyAlignment="1">
      <alignment horizontal="center" vertical="top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10" fontId="1" fillId="0" borderId="5" xfId="0" applyNumberFormat="1" applyFont="1" applyFill="1" applyBorder="1" applyAlignment="1">
      <alignment horizontal="right" vertical="top"/>
    </xf>
    <xf numFmtId="9" fontId="1" fillId="0" borderId="0" xfId="0" applyNumberFormat="1" applyFont="1" applyFill="1" applyBorder="1" applyAlignment="1">
      <alignment horizontal="center" vertical="top"/>
    </xf>
    <xf numFmtId="10" fontId="1" fillId="0" borderId="5" xfId="0" applyNumberFormat="1" applyFont="1" applyFill="1" applyBorder="1" applyAlignment="1">
      <alignment horizontal="center" vertical="top"/>
    </xf>
    <xf numFmtId="10" fontId="2" fillId="0" borderId="2" xfId="0" applyNumberFormat="1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/>
    </xf>
    <xf numFmtId="164" fontId="1" fillId="0" borderId="0" xfId="0" applyNumberFormat="1" applyFont="1" applyFill="1" applyBorder="1" applyAlignment="1">
      <alignment horizontal="center" vertical="top" wrapText="1"/>
    </xf>
    <xf numFmtId="164" fontId="2" fillId="0" borderId="2" xfId="0" applyNumberFormat="1" applyFont="1" applyFill="1" applyBorder="1" applyAlignment="1">
      <alignment horizontal="center" vertical="top" wrapText="1"/>
    </xf>
    <xf numFmtId="164" fontId="1" fillId="0" borderId="2" xfId="0" applyNumberFormat="1" applyFont="1" applyFill="1" applyBorder="1" applyAlignment="1">
      <alignment horizontal="center" vertical="top" shrinkToFit="1"/>
    </xf>
    <xf numFmtId="164" fontId="1" fillId="0" borderId="2" xfId="0" applyNumberFormat="1" applyFont="1" applyFill="1" applyBorder="1" applyAlignment="1">
      <alignment horizontal="center" vertical="top"/>
    </xf>
    <xf numFmtId="164" fontId="1" fillId="0" borderId="2" xfId="0" applyNumberFormat="1" applyFont="1" applyFill="1" applyBorder="1" applyAlignment="1">
      <alignment horizontal="left" vertical="top"/>
    </xf>
    <xf numFmtId="164" fontId="1" fillId="0" borderId="0" xfId="0" applyNumberFormat="1" applyFont="1" applyFill="1" applyBorder="1" applyAlignment="1">
      <alignment horizontal="left" vertical="top"/>
    </xf>
    <xf numFmtId="164" fontId="1" fillId="0" borderId="0" xfId="0" applyNumberFormat="1" applyFont="1" applyFill="1" applyBorder="1" applyAlignment="1">
      <alignment vertical="top"/>
    </xf>
    <xf numFmtId="0" fontId="1" fillId="0" borderId="4" xfId="0" applyNumberFormat="1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 wrapText="1"/>
    </xf>
    <xf numFmtId="10" fontId="1" fillId="0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289907</xdr:colOff>
      <xdr:row>30</xdr:row>
      <xdr:rowOff>220571</xdr:rowOff>
    </xdr:from>
    <xdr:ext cx="521334" cy="0"/>
    <xdr:sp macro="" textlink="">
      <xdr:nvSpPr>
        <xdr:cNvPr id="4" name="Shape 2"/>
        <xdr:cNvSpPr/>
      </xdr:nvSpPr>
      <xdr:spPr>
        <a:xfrm>
          <a:off x="1547207" y="2420846"/>
          <a:ext cx="521334" cy="0"/>
        </a:xfrm>
        <a:custGeom>
          <a:avLst/>
          <a:gdLst/>
          <a:ahLst/>
          <a:cxnLst/>
          <a:rect l="0" t="0" r="0" b="0"/>
          <a:pathLst>
            <a:path w="521334">
              <a:moveTo>
                <a:pt x="0" y="0"/>
              </a:moveTo>
              <a:lnTo>
                <a:pt x="520872" y="0"/>
              </a:lnTo>
            </a:path>
          </a:pathLst>
        </a:custGeom>
        <a:ln w="3175">
          <a:solidFill>
            <a:srgbClr val="70747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workbookViewId="0">
      <selection activeCell="Q10" sqref="Q10"/>
    </sheetView>
  </sheetViews>
  <sheetFormatPr defaultRowHeight="12.75" x14ac:dyDescent="0.2"/>
  <cols>
    <col min="1" max="1" width="10.83203125" style="1" customWidth="1"/>
    <col min="2" max="2" width="11.1640625" style="1" customWidth="1"/>
    <col min="3" max="3" width="19.1640625" style="2" bestFit="1" customWidth="1"/>
    <col min="4" max="4" width="41.83203125" style="1" bestFit="1" customWidth="1"/>
    <col min="5" max="5" width="17.6640625" style="2" customWidth="1"/>
    <col min="6" max="6" width="14.83203125" style="9" customWidth="1"/>
    <col min="7" max="7" width="21" style="2" customWidth="1"/>
    <col min="8" max="9" width="21" style="6" customWidth="1"/>
    <col min="10" max="12" width="21" style="9" customWidth="1"/>
    <col min="13" max="13" width="21" style="7" customWidth="1"/>
    <col min="15" max="15" width="21" style="7" customWidth="1"/>
    <col min="16" max="17" width="21" style="2" customWidth="1"/>
    <col min="18" max="18" width="19.83203125" style="2" customWidth="1"/>
    <col min="19" max="16384" width="9.33203125" style="1"/>
  </cols>
  <sheetData>
    <row r="1" spans="1:18" ht="19.5" customHeight="1" x14ac:dyDescent="0.2">
      <c r="D1" s="25"/>
      <c r="N1" s="1"/>
    </row>
    <row r="2" spans="1:18" ht="27" customHeight="1" x14ac:dyDescent="0.2">
      <c r="D2" s="26"/>
      <c r="J2" s="32" t="s">
        <v>21</v>
      </c>
      <c r="K2" s="32"/>
      <c r="L2" s="9" t="s">
        <v>22</v>
      </c>
      <c r="M2" s="7" t="s">
        <v>25</v>
      </c>
      <c r="N2" s="1"/>
      <c r="O2" s="28" t="s">
        <v>28</v>
      </c>
    </row>
    <row r="3" spans="1:18" ht="41.25" customHeight="1" x14ac:dyDescent="0.2">
      <c r="C3" s="13" t="s">
        <v>0</v>
      </c>
      <c r="D3" s="14" t="s">
        <v>1</v>
      </c>
      <c r="E3" s="22" t="s">
        <v>2</v>
      </c>
      <c r="F3" s="33" t="s">
        <v>3</v>
      </c>
      <c r="G3" s="13" t="s">
        <v>4</v>
      </c>
      <c r="H3" s="41" t="s">
        <v>23</v>
      </c>
      <c r="I3" s="41"/>
      <c r="J3" s="33" t="s">
        <v>20</v>
      </c>
      <c r="K3" s="10"/>
      <c r="L3" s="10" t="s">
        <v>26</v>
      </c>
      <c r="M3" s="10" t="s">
        <v>27</v>
      </c>
      <c r="N3" s="1"/>
      <c r="O3" s="4" t="s">
        <v>5</v>
      </c>
      <c r="P3" s="3"/>
      <c r="Q3" s="3"/>
      <c r="R3" s="1"/>
    </row>
    <row r="4" spans="1:18" x14ac:dyDescent="0.2">
      <c r="C4" s="13"/>
      <c r="D4" s="14"/>
      <c r="E4" s="22"/>
      <c r="F4" s="33"/>
      <c r="G4" s="13"/>
      <c r="H4" s="15" t="s">
        <v>16</v>
      </c>
      <c r="I4" s="30" t="s">
        <v>24</v>
      </c>
      <c r="J4" s="33"/>
      <c r="K4" s="10"/>
      <c r="L4" s="10"/>
      <c r="M4" s="8"/>
      <c r="N4" s="1"/>
      <c r="O4" s="4"/>
      <c r="P4" s="5"/>
      <c r="Q4" s="5"/>
      <c r="R4" s="1"/>
    </row>
    <row r="5" spans="1:18" x14ac:dyDescent="0.2">
      <c r="C5" s="16">
        <v>1</v>
      </c>
      <c r="D5" s="17" t="s">
        <v>6</v>
      </c>
      <c r="E5" s="22" t="s">
        <v>7</v>
      </c>
      <c r="F5" s="34">
        <v>2027</v>
      </c>
      <c r="G5" s="18">
        <v>1038</v>
      </c>
      <c r="H5" s="19">
        <v>0.12</v>
      </c>
      <c r="I5" s="20">
        <v>124.56</v>
      </c>
      <c r="J5" s="34">
        <f t="shared" ref="J5:J13" si="0">G5+I5</f>
        <v>1162.56</v>
      </c>
      <c r="K5" s="11"/>
      <c r="L5" s="10">
        <v>34.89</v>
      </c>
      <c r="M5" s="11">
        <f>SUM(J5:L5)</f>
        <v>1197.45</v>
      </c>
      <c r="N5" s="1"/>
      <c r="O5" s="5">
        <v>1246</v>
      </c>
      <c r="P5" s="5"/>
      <c r="Q5" s="5"/>
      <c r="R5" s="1"/>
    </row>
    <row r="6" spans="1:18" x14ac:dyDescent="0.2">
      <c r="C6" s="18">
        <v>2</v>
      </c>
      <c r="D6" s="17" t="s">
        <v>8</v>
      </c>
      <c r="E6" s="22" t="s">
        <v>7</v>
      </c>
      <c r="F6" s="34">
        <v>1083</v>
      </c>
      <c r="G6" s="18">
        <v>538</v>
      </c>
      <c r="H6" s="19">
        <v>0.12</v>
      </c>
      <c r="I6" s="20">
        <v>64.56</v>
      </c>
      <c r="J6" s="34">
        <f t="shared" si="0"/>
        <v>602.55999999999995</v>
      </c>
      <c r="K6" s="11"/>
      <c r="L6" s="9">
        <v>18.07</v>
      </c>
      <c r="M6" s="11">
        <f t="shared" ref="M6:M13" si="1">SUM(J6:L6)</f>
        <v>620.63</v>
      </c>
      <c r="N6" s="1"/>
      <c r="O6" s="5">
        <v>646</v>
      </c>
      <c r="P6" s="5"/>
      <c r="Q6" s="5"/>
      <c r="R6" s="1"/>
    </row>
    <row r="7" spans="1:18" x14ac:dyDescent="0.2">
      <c r="C7" s="18">
        <v>3</v>
      </c>
      <c r="D7" s="17" t="s">
        <v>15</v>
      </c>
      <c r="E7" s="22" t="s">
        <v>7</v>
      </c>
      <c r="F7" s="34">
        <v>1101</v>
      </c>
      <c r="G7" s="18">
        <v>450</v>
      </c>
      <c r="H7" s="19">
        <v>0.12</v>
      </c>
      <c r="I7" s="20">
        <v>54</v>
      </c>
      <c r="J7" s="34">
        <f t="shared" si="0"/>
        <v>504</v>
      </c>
      <c r="K7" s="11"/>
      <c r="L7" s="11">
        <v>15.12</v>
      </c>
      <c r="M7" s="11">
        <f t="shared" si="1"/>
        <v>519.12</v>
      </c>
      <c r="N7" s="1"/>
      <c r="O7" s="5">
        <v>540</v>
      </c>
      <c r="P7" s="5"/>
      <c r="Q7" s="5"/>
      <c r="R7" s="1"/>
    </row>
    <row r="8" spans="1:18" x14ac:dyDescent="0.2">
      <c r="C8" s="18">
        <v>4</v>
      </c>
      <c r="D8" s="17" t="s">
        <v>9</v>
      </c>
      <c r="E8" s="22" t="s">
        <v>7</v>
      </c>
      <c r="F8" s="34">
        <v>1158</v>
      </c>
      <c r="G8" s="18">
        <v>474</v>
      </c>
      <c r="H8" s="19">
        <v>0.12</v>
      </c>
      <c r="I8" s="20">
        <v>56.88</v>
      </c>
      <c r="J8" s="34">
        <f t="shared" si="0"/>
        <v>530.88</v>
      </c>
      <c r="K8" s="11"/>
      <c r="L8" s="11">
        <v>15.92</v>
      </c>
      <c r="M8" s="11">
        <f t="shared" si="1"/>
        <v>546.79999999999995</v>
      </c>
      <c r="N8" s="1"/>
      <c r="O8" s="5">
        <v>569</v>
      </c>
      <c r="P8" s="5"/>
      <c r="Q8" s="5"/>
      <c r="R8" s="1"/>
    </row>
    <row r="9" spans="1:18" x14ac:dyDescent="0.2">
      <c r="C9" s="18">
        <v>5</v>
      </c>
      <c r="D9" s="17" t="s">
        <v>10</v>
      </c>
      <c r="E9" s="22" t="s">
        <v>7</v>
      </c>
      <c r="F9" s="34">
        <v>564</v>
      </c>
      <c r="G9" s="18">
        <v>280</v>
      </c>
      <c r="H9" s="19">
        <v>0.12</v>
      </c>
      <c r="I9" s="20">
        <v>33.6</v>
      </c>
      <c r="J9" s="34">
        <f t="shared" si="0"/>
        <v>313.60000000000002</v>
      </c>
      <c r="K9" s="11"/>
      <c r="L9" s="11">
        <v>9.4</v>
      </c>
      <c r="M9" s="11">
        <f t="shared" si="1"/>
        <v>323</v>
      </c>
      <c r="N9" s="1"/>
      <c r="O9" s="5">
        <v>336</v>
      </c>
      <c r="P9" s="5"/>
      <c r="Q9" s="5"/>
      <c r="R9" s="1"/>
    </row>
    <row r="10" spans="1:18" x14ac:dyDescent="0.2">
      <c r="C10" s="18">
        <v>6</v>
      </c>
      <c r="D10" s="17" t="s">
        <v>11</v>
      </c>
      <c r="E10" s="22" t="s">
        <v>7</v>
      </c>
      <c r="F10" s="34">
        <v>564</v>
      </c>
      <c r="G10" s="18">
        <v>294</v>
      </c>
      <c r="H10" s="19">
        <v>0.12</v>
      </c>
      <c r="I10" s="20">
        <v>35.28</v>
      </c>
      <c r="J10" s="34">
        <f t="shared" si="0"/>
        <v>329.28</v>
      </c>
      <c r="K10" s="11"/>
      <c r="L10" s="11">
        <v>9.8699999999999992</v>
      </c>
      <c r="M10" s="11">
        <f t="shared" si="1"/>
        <v>339.15</v>
      </c>
      <c r="N10" s="1"/>
      <c r="O10" s="5">
        <v>353</v>
      </c>
      <c r="P10" s="5"/>
      <c r="Q10" s="5"/>
      <c r="R10" s="1"/>
    </row>
    <row r="11" spans="1:18" x14ac:dyDescent="0.2">
      <c r="C11" s="18">
        <v>7</v>
      </c>
      <c r="D11" s="17" t="s">
        <v>12</v>
      </c>
      <c r="E11" s="22" t="s">
        <v>7</v>
      </c>
      <c r="F11" s="34">
        <v>14329</v>
      </c>
      <c r="G11" s="18">
        <v>7490</v>
      </c>
      <c r="H11" s="19">
        <v>0.12</v>
      </c>
      <c r="I11" s="20">
        <v>898.8</v>
      </c>
      <c r="J11" s="34">
        <f t="shared" si="0"/>
        <v>8388.7999999999993</v>
      </c>
      <c r="K11" s="11"/>
      <c r="L11" s="11">
        <v>251.66</v>
      </c>
      <c r="M11" s="11">
        <f t="shared" si="1"/>
        <v>8640.4599999999991</v>
      </c>
      <c r="N11" s="1"/>
      <c r="O11" s="5">
        <v>8988</v>
      </c>
      <c r="P11" s="5"/>
      <c r="Q11" s="5"/>
      <c r="R11" s="1"/>
    </row>
    <row r="12" spans="1:18" x14ac:dyDescent="0.2">
      <c r="C12" s="18">
        <v>8</v>
      </c>
      <c r="D12" s="17" t="s">
        <v>13</v>
      </c>
      <c r="E12" s="22" t="s">
        <v>7</v>
      </c>
      <c r="F12" s="34">
        <v>1919</v>
      </c>
      <c r="G12" s="18">
        <v>830</v>
      </c>
      <c r="H12" s="19">
        <v>0.12</v>
      </c>
      <c r="I12" s="20">
        <v>99.6</v>
      </c>
      <c r="J12" s="34">
        <f t="shared" si="0"/>
        <v>929.6</v>
      </c>
      <c r="K12" s="11"/>
      <c r="L12" s="11">
        <v>27.88</v>
      </c>
      <c r="M12" s="11">
        <f t="shared" si="1"/>
        <v>957.48</v>
      </c>
      <c r="N12" s="1"/>
      <c r="O12" s="5">
        <v>996</v>
      </c>
      <c r="P12" s="5"/>
      <c r="Q12" s="5"/>
      <c r="R12" s="1"/>
    </row>
    <row r="13" spans="1:18" x14ac:dyDescent="0.2">
      <c r="C13" s="21">
        <v>9</v>
      </c>
      <c r="D13" s="17" t="s">
        <v>14</v>
      </c>
      <c r="E13" s="22" t="s">
        <v>7</v>
      </c>
      <c r="F13" s="34">
        <v>579</v>
      </c>
      <c r="G13" s="18">
        <v>222</v>
      </c>
      <c r="H13" s="19">
        <v>0.12</v>
      </c>
      <c r="I13" s="20">
        <v>26.64</v>
      </c>
      <c r="J13" s="34">
        <f t="shared" si="0"/>
        <v>248.64</v>
      </c>
      <c r="K13" s="11"/>
      <c r="L13" s="11">
        <v>7.45</v>
      </c>
      <c r="M13" s="11">
        <f t="shared" si="1"/>
        <v>256.08999999999997</v>
      </c>
      <c r="N13" s="1"/>
      <c r="O13" s="5">
        <v>266</v>
      </c>
    </row>
    <row r="14" spans="1:18" x14ac:dyDescent="0.2">
      <c r="F14" s="35"/>
      <c r="G14" s="23"/>
      <c r="I14" s="29"/>
      <c r="J14" s="35"/>
      <c r="L14" s="11"/>
      <c r="N14" s="1"/>
      <c r="O14" s="1"/>
      <c r="P14" s="12"/>
      <c r="Q14" s="12"/>
    </row>
    <row r="15" spans="1:18" x14ac:dyDescent="0.2">
      <c r="E15" s="2" t="s">
        <v>19</v>
      </c>
      <c r="F15" s="35">
        <f>SUM(F5:F13)</f>
        <v>23324</v>
      </c>
      <c r="G15" s="24">
        <f>SUM(G5:G13)</f>
        <v>11616</v>
      </c>
      <c r="I15" s="27" t="s">
        <v>18</v>
      </c>
      <c r="J15" s="36">
        <f>SUM(J5:J14)</f>
        <v>13009.92</v>
      </c>
      <c r="K15" s="37"/>
      <c r="L15" s="9">
        <f>SUM(L5:L13)</f>
        <v>390.26</v>
      </c>
      <c r="M15" s="9">
        <f>SUM(M5:M13)</f>
        <v>13400.179999999998</v>
      </c>
    </row>
    <row r="16" spans="1:18" x14ac:dyDescent="0.2">
      <c r="A16" s="31" t="s">
        <v>17</v>
      </c>
      <c r="B16" s="31"/>
      <c r="C16" s="31"/>
      <c r="D16" s="31"/>
      <c r="E16" s="31"/>
      <c r="F16" s="38"/>
      <c r="G16" s="31"/>
      <c r="H16" s="31"/>
      <c r="I16" s="31"/>
      <c r="J16" s="31"/>
      <c r="K16" s="31"/>
      <c r="M16" s="39"/>
    </row>
    <row r="20" spans="3:9" x14ac:dyDescent="0.2">
      <c r="H20" s="28" t="s">
        <v>29</v>
      </c>
    </row>
    <row r="21" spans="3:9" ht="25.5" x14ac:dyDescent="0.2">
      <c r="C21" s="13" t="s">
        <v>0</v>
      </c>
      <c r="D21" s="14" t="s">
        <v>1</v>
      </c>
      <c r="E21" s="22" t="s">
        <v>2</v>
      </c>
      <c r="F21" s="33" t="s">
        <v>3</v>
      </c>
      <c r="G21" s="40" t="s">
        <v>20</v>
      </c>
      <c r="H21" s="4" t="s">
        <v>5</v>
      </c>
      <c r="I21" s="3"/>
    </row>
    <row r="22" spans="3:9" x14ac:dyDescent="0.2">
      <c r="C22" s="16">
        <v>1</v>
      </c>
      <c r="D22" s="17" t="s">
        <v>6</v>
      </c>
      <c r="E22" s="22" t="s">
        <v>7</v>
      </c>
      <c r="F22" s="34">
        <v>2027</v>
      </c>
      <c r="G22" s="2">
        <v>1162.56</v>
      </c>
      <c r="H22" s="5">
        <v>1246</v>
      </c>
      <c r="I22" s="5"/>
    </row>
    <row r="23" spans="3:9" x14ac:dyDescent="0.2">
      <c r="C23" s="18">
        <v>2</v>
      </c>
      <c r="D23" s="17" t="s">
        <v>8</v>
      </c>
      <c r="E23" s="22" t="s">
        <v>7</v>
      </c>
      <c r="F23" s="34">
        <v>1083</v>
      </c>
      <c r="G23" s="2">
        <v>602.55999999999995</v>
      </c>
      <c r="H23" s="5">
        <v>646</v>
      </c>
      <c r="I23" s="5"/>
    </row>
    <row r="24" spans="3:9" x14ac:dyDescent="0.2">
      <c r="C24" s="18">
        <v>3</v>
      </c>
      <c r="D24" s="17" t="s">
        <v>15</v>
      </c>
      <c r="E24" s="22" t="s">
        <v>7</v>
      </c>
      <c r="F24" s="34">
        <v>1101</v>
      </c>
      <c r="G24" s="2">
        <v>504</v>
      </c>
      <c r="H24" s="5">
        <v>540</v>
      </c>
      <c r="I24" s="5"/>
    </row>
    <row r="25" spans="3:9" x14ac:dyDescent="0.2">
      <c r="C25" s="18">
        <v>4</v>
      </c>
      <c r="D25" s="17" t="s">
        <v>9</v>
      </c>
      <c r="E25" s="22" t="s">
        <v>7</v>
      </c>
      <c r="F25" s="34">
        <v>1158</v>
      </c>
      <c r="G25" s="2">
        <v>530.88</v>
      </c>
      <c r="H25" s="5">
        <v>569</v>
      </c>
      <c r="I25" s="5"/>
    </row>
    <row r="26" spans="3:9" x14ac:dyDescent="0.2">
      <c r="C26" s="18">
        <v>5</v>
      </c>
      <c r="D26" s="17" t="s">
        <v>10</v>
      </c>
      <c r="E26" s="22" t="s">
        <v>7</v>
      </c>
      <c r="F26" s="34">
        <v>564</v>
      </c>
      <c r="G26" s="2">
        <v>313.60000000000002</v>
      </c>
      <c r="H26" s="5">
        <v>336</v>
      </c>
      <c r="I26" s="5"/>
    </row>
    <row r="27" spans="3:9" x14ac:dyDescent="0.2">
      <c r="C27" s="18">
        <v>6</v>
      </c>
      <c r="D27" s="17" t="s">
        <v>11</v>
      </c>
      <c r="E27" s="22" t="s">
        <v>7</v>
      </c>
      <c r="F27" s="34">
        <v>564</v>
      </c>
      <c r="G27" s="2">
        <v>329.28</v>
      </c>
      <c r="H27" s="5">
        <v>353</v>
      </c>
      <c r="I27" s="5"/>
    </row>
    <row r="28" spans="3:9" x14ac:dyDescent="0.2">
      <c r="C28" s="18">
        <v>7</v>
      </c>
      <c r="D28" s="17" t="s">
        <v>12</v>
      </c>
      <c r="E28" s="22" t="s">
        <v>7</v>
      </c>
      <c r="F28" s="34">
        <v>14329</v>
      </c>
      <c r="G28" s="2">
        <v>8388.7999999999993</v>
      </c>
      <c r="H28" s="5">
        <v>8988</v>
      </c>
      <c r="I28" s="5"/>
    </row>
    <row r="29" spans="3:9" x14ac:dyDescent="0.2">
      <c r="C29" s="18">
        <v>8</v>
      </c>
      <c r="D29" s="17" t="s">
        <v>13</v>
      </c>
      <c r="E29" s="22" t="s">
        <v>7</v>
      </c>
      <c r="F29" s="34">
        <v>1919</v>
      </c>
      <c r="G29" s="2">
        <v>929.6</v>
      </c>
      <c r="H29" s="5">
        <v>996</v>
      </c>
      <c r="I29" s="5"/>
    </row>
    <row r="30" spans="3:9" x14ac:dyDescent="0.2">
      <c r="C30" s="21">
        <v>9</v>
      </c>
      <c r="D30" s="17" t="s">
        <v>14</v>
      </c>
      <c r="E30" s="22" t="s">
        <v>7</v>
      </c>
      <c r="F30" s="34">
        <v>579</v>
      </c>
      <c r="G30" s="2">
        <v>248.64</v>
      </c>
      <c r="H30" s="5">
        <v>266</v>
      </c>
      <c r="I30" s="5"/>
    </row>
    <row r="31" spans="3:9" x14ac:dyDescent="0.2">
      <c r="F31" s="35"/>
      <c r="I31" s="2"/>
    </row>
    <row r="32" spans="3:9" x14ac:dyDescent="0.2">
      <c r="E32" s="2" t="s">
        <v>19</v>
      </c>
      <c r="F32" s="35">
        <f>SUM(F22:F30)</f>
        <v>23324</v>
      </c>
      <c r="G32" s="2">
        <v>13009.92</v>
      </c>
      <c r="H32" s="9">
        <f>SUM(H22:H30)</f>
        <v>13940</v>
      </c>
      <c r="I32" s="12"/>
    </row>
  </sheetData>
  <mergeCells count="1">
    <mergeCell ref="H3:I3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2025-09-12T10:02:26Z</dcterms:created>
  <dcterms:modified xsi:type="dcterms:W3CDTF">2025-09-15T09:03:54Z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2025-09-12T00:00:00Z</vt:filetime>
  </property>
  <property fmtid="{D5CDD505-2E9C-101B-9397-08002B2CF9AE}" pid="3" name="LastSaved">
    <vt:filetime>2025-09-12T00:00:00Z</vt:filetime>
  </property>
  <property fmtid="{D5CDD505-2E9C-101B-9397-08002B2CF9AE}" pid="4" name="Producer">
    <vt:lpwstr>iLovePDF</vt:lpwstr>
  </property>
</Properties>
</file>