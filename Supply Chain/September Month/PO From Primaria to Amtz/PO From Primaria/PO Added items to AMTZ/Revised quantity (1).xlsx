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garw\Downloads\"/>
    </mc:Choice>
  </mc:AlternateContent>
  <xr:revisionPtr revIDLastSave="0" documentId="13_ncr:1_{58FA0BFE-7B44-4278-BB7F-51D86859E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  <c r="I2" i="1" l="1"/>
  <c r="J2" i="1" s="1"/>
  <c r="I3" i="1"/>
  <c r="J3" i="1" s="1"/>
  <c r="L3" i="1" s="1"/>
  <c r="I4" i="1"/>
  <c r="J4" i="1" s="1"/>
  <c r="L4" i="1" s="1"/>
  <c r="I5" i="1"/>
  <c r="J5" i="1" s="1"/>
  <c r="L5" i="1" s="1"/>
  <c r="I6" i="1"/>
  <c r="J6" i="1" s="1"/>
  <c r="L6" i="1" s="1"/>
  <c r="I7" i="1"/>
  <c r="J7" i="1" s="1"/>
  <c r="L7" i="1" s="1"/>
  <c r="J8" i="1" l="1"/>
  <c r="L2" i="1"/>
</calcChain>
</file>

<file path=xl/sharedStrings.xml><?xml version="1.0" encoding="utf-8"?>
<sst xmlns="http://schemas.openxmlformats.org/spreadsheetml/2006/main" count="37" uniqueCount="30">
  <si>
    <t>S.no in PO</t>
  </si>
  <si>
    <t>Product</t>
  </si>
  <si>
    <t>Price Quoted for</t>
  </si>
  <si>
    <t>Suggested Quantity</t>
  </si>
  <si>
    <t>Quantity</t>
  </si>
  <si>
    <t>Unit Price</t>
  </si>
  <si>
    <t>Price</t>
  </si>
  <si>
    <t>GST Rate</t>
  </si>
  <si>
    <t>TAX</t>
  </si>
  <si>
    <t>Total Price</t>
  </si>
  <si>
    <t>PO Price</t>
  </si>
  <si>
    <t>Total Price Increase in PO</t>
  </si>
  <si>
    <t>GP Point 25-45 Each Set</t>
  </si>
  <si>
    <t>1 Set</t>
  </si>
  <si>
    <t>5 Sets (1 Set of 25, 30, 35, 40, 45)</t>
  </si>
  <si>
    <t>12%</t>
  </si>
  <si>
    <t>GP Point 15-80 Assorted Sets</t>
  </si>
  <si>
    <t>10 sets</t>
  </si>
  <si>
    <t>H File, 10, 15-40 (21mm)</t>
  </si>
  <si>
    <t>H file Set assorted 15-40 &amp; 45-80 (21mm)</t>
  </si>
  <si>
    <t>K file set 6,10,15-45 ONLY REFILL</t>
  </si>
  <si>
    <t>4 sets</t>
  </si>
  <si>
    <t>K file set assorted (15-40 &amp; 45-80)</t>
  </si>
  <si>
    <t>20 Sets</t>
  </si>
  <si>
    <t>20 Sets (10 Sets of 15-40 &amp; 10 Sets of 45-80)</t>
  </si>
  <si>
    <t>Total</t>
  </si>
  <si>
    <t>10 Sets (10 Sets of 15-40 &amp; 10 Sets of 45-80)</t>
  </si>
  <si>
    <t>70 Sets (10 Sets of 15, 20, 25, 30, 35, 40)</t>
  </si>
  <si>
    <t>36 Sets (4 Sets of 6, 10, 15, 20, 25, 30, 35, 40, 45)</t>
  </si>
  <si>
    <t>40 Sets (20 Sets of 15-40 &amp; 20 Sets of 45-80)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</si>
</sst>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07" workbookViewId="0">
      <selection activeCell="J10" sqref="J10"/>
    </sheetView>
  </sheetViews>
  <sheetFormatPr defaultRowHeight="14.4" x14ac:dyDescent="0.3"/>
  <cols>
    <col min="1" max="1" width="9.44140625" bestFit="1" customWidth="1"/>
    <col min="2" max="2" width="35.5546875" bestFit="1" customWidth="1"/>
    <col min="3" max="3" width="14.77734375" bestFit="1" customWidth="1"/>
    <col min="4" max="4" width="40.6640625" bestFit="1" customWidth="1"/>
    <col min="5" max="5" width="8.33203125" bestFit="1" customWidth="1"/>
    <col min="6" max="6" width="10.109375" bestFit="1" customWidth="1"/>
    <col min="7" max="7" width="11.109375" bestFit="1" customWidth="1"/>
    <col min="8" max="8" width="8.33203125" bestFit="1" customWidth="1"/>
    <col min="9" max="10" width="12.21875" bestFit="1" customWidth="1"/>
    <col min="11" max="11" width="8" bestFit="1" customWidth="1"/>
    <col min="12" max="12" width="22.44140625" bestFit="1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1">
        <v>33</v>
      </c>
      <c r="B2" s="1" t="s">
        <v>12</v>
      </c>
      <c r="C2" s="1" t="s">
        <v>13</v>
      </c>
      <c r="D2" s="1" t="s">
        <v>14</v>
      </c>
      <c r="E2" s="1">
        <v>5</v>
      </c>
      <c r="F2" s="1">
        <v>218.88740999999999</v>
      </c>
      <c r="G2" s="1">
        <f t="shared" ref="G2:G7" si="0">E2*F2</f>
        <v>1094.43705</v>
      </c>
      <c r="H2" s="1" t="s">
        <v>15</v>
      </c>
      <c r="I2" s="1">
        <f t="shared" ref="I2:I7" si="1">G2*12%</f>
        <v>131.332446</v>
      </c>
      <c r="J2" s="1">
        <f t="shared" ref="J2:J7" si="2">G2+I2</f>
        <v>1225.7694959999999</v>
      </c>
      <c r="K2" s="1">
        <v>245.15</v>
      </c>
      <c r="L2" s="1">
        <f t="shared" ref="L2:L7" si="3">J2-K2</f>
        <v>980.61949599999991</v>
      </c>
    </row>
    <row r="3" spans="1:12" x14ac:dyDescent="0.3">
      <c r="A3" s="1">
        <v>34</v>
      </c>
      <c r="B3" s="1" t="s">
        <v>16</v>
      </c>
      <c r="C3" s="1" t="s">
        <v>17</v>
      </c>
      <c r="D3" s="1" t="s">
        <v>26</v>
      </c>
      <c r="E3" s="1">
        <v>20</v>
      </c>
      <c r="F3" s="1">
        <v>218.88740999999999</v>
      </c>
      <c r="G3" s="1">
        <f t="shared" si="0"/>
        <v>4377.7482</v>
      </c>
      <c r="H3" s="1" t="s">
        <v>15</v>
      </c>
      <c r="I3" s="1">
        <f t="shared" si="1"/>
        <v>525.32978400000002</v>
      </c>
      <c r="J3" s="1">
        <f t="shared" si="2"/>
        <v>4903.0779839999996</v>
      </c>
      <c r="K3" s="1">
        <v>2451.54</v>
      </c>
      <c r="L3" s="1">
        <f t="shared" si="3"/>
        <v>2451.5379839999996</v>
      </c>
    </row>
    <row r="4" spans="1:12" x14ac:dyDescent="0.3">
      <c r="A4" s="1">
        <v>37</v>
      </c>
      <c r="B4" s="1" t="s">
        <v>18</v>
      </c>
      <c r="C4" s="1" t="s">
        <v>17</v>
      </c>
      <c r="D4" s="1" t="s">
        <v>27</v>
      </c>
      <c r="E4" s="1">
        <v>70</v>
      </c>
      <c r="F4" s="1">
        <v>269.34323999999998</v>
      </c>
      <c r="G4" s="1">
        <f t="shared" si="0"/>
        <v>18854.0268</v>
      </c>
      <c r="H4" s="1" t="s">
        <v>15</v>
      </c>
      <c r="I4" s="1">
        <f t="shared" si="1"/>
        <v>2262.4832160000001</v>
      </c>
      <c r="J4" s="1">
        <f t="shared" si="2"/>
        <v>21116.510016</v>
      </c>
      <c r="K4" s="1">
        <v>3016.64</v>
      </c>
      <c r="L4" s="1">
        <f t="shared" si="3"/>
        <v>18099.870016000001</v>
      </c>
    </row>
    <row r="5" spans="1:12" x14ac:dyDescent="0.3">
      <c r="A5" s="1">
        <v>38</v>
      </c>
      <c r="B5" s="1" t="s">
        <v>19</v>
      </c>
      <c r="C5" s="1" t="s">
        <v>17</v>
      </c>
      <c r="D5" s="1" t="s">
        <v>24</v>
      </c>
      <c r="E5" s="1">
        <v>20</v>
      </c>
      <c r="F5" s="1">
        <v>218.87772000000001</v>
      </c>
      <c r="G5" s="1">
        <f t="shared" si="0"/>
        <v>4377.5544</v>
      </c>
      <c r="H5" s="1" t="s">
        <v>15</v>
      </c>
      <c r="I5" s="1">
        <f t="shared" si="1"/>
        <v>525.30652799999996</v>
      </c>
      <c r="J5" s="1">
        <f t="shared" si="2"/>
        <v>4902.8609280000001</v>
      </c>
      <c r="K5" s="1">
        <v>2451.4299999999998</v>
      </c>
      <c r="L5" s="1">
        <f t="shared" si="3"/>
        <v>2451.4309280000002</v>
      </c>
    </row>
    <row r="6" spans="1:12" x14ac:dyDescent="0.3">
      <c r="A6" s="1">
        <v>39</v>
      </c>
      <c r="B6" s="1" t="s">
        <v>20</v>
      </c>
      <c r="C6" s="1" t="s">
        <v>21</v>
      </c>
      <c r="D6" s="1" t="s">
        <v>28</v>
      </c>
      <c r="E6" s="1">
        <v>36</v>
      </c>
      <c r="F6" s="1">
        <v>268.63587000000001</v>
      </c>
      <c r="G6" s="1">
        <f t="shared" si="0"/>
        <v>9670.8913200000006</v>
      </c>
      <c r="H6" s="1" t="s">
        <v>15</v>
      </c>
      <c r="I6" s="1">
        <f t="shared" si="1"/>
        <v>1160.5069584</v>
      </c>
      <c r="J6" s="1">
        <f t="shared" si="2"/>
        <v>10831.3982784</v>
      </c>
      <c r="K6" s="1">
        <v>1203.49</v>
      </c>
      <c r="L6" s="1">
        <f t="shared" si="3"/>
        <v>9627.9082784000002</v>
      </c>
    </row>
    <row r="7" spans="1:12" x14ac:dyDescent="0.3">
      <c r="A7" s="1">
        <v>40</v>
      </c>
      <c r="B7" s="1" t="s">
        <v>22</v>
      </c>
      <c r="C7" s="1" t="s">
        <v>23</v>
      </c>
      <c r="D7" s="1" t="s">
        <v>29</v>
      </c>
      <c r="E7" s="1">
        <v>40</v>
      </c>
      <c r="F7" s="1">
        <v>338.28759000000002</v>
      </c>
      <c r="G7" s="1">
        <f t="shared" si="0"/>
        <v>13531.5036</v>
      </c>
      <c r="H7" s="1" t="s">
        <v>15</v>
      </c>
      <c r="I7" s="1">
        <f t="shared" si="1"/>
        <v>1623.780432</v>
      </c>
      <c r="J7" s="1">
        <f t="shared" si="2"/>
        <v>15155.284032</v>
      </c>
      <c r="K7" s="1">
        <v>7577.64</v>
      </c>
      <c r="L7" s="1">
        <f t="shared" si="3"/>
        <v>7577.6440319999992</v>
      </c>
    </row>
    <row r="8" spans="1:12" x14ac:dyDescent="0.3">
      <c r="A8" s="2"/>
      <c r="B8" s="2"/>
      <c r="C8" s="2"/>
      <c r="D8" s="2"/>
      <c r="E8" s="2"/>
      <c r="F8" s="2"/>
      <c r="G8" s="2"/>
      <c r="H8" s="2"/>
      <c r="I8" s="3" t="s">
        <v>25</v>
      </c>
      <c r="J8" s="3">
        <f>SUM(J2:J7)</f>
        <v>58134.900734399998</v>
      </c>
      <c r="K8" s="3"/>
      <c r="L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Agarwal</cp:lastModifiedBy>
  <dcterms:created xsi:type="dcterms:W3CDTF">2025-08-01T09:30:39Z</dcterms:created>
  <dcterms:modified xsi:type="dcterms:W3CDTF">2025-08-01T09:39:12Z</dcterms:modified>
</cp:coreProperties>
</file>