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1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4" i="1" l="1"/>
  <c r="H14" i="1"/>
  <c r="G13" i="1"/>
  <c r="E14" i="1" l="1"/>
  <c r="D14" i="1"/>
  <c r="H12" i="1"/>
  <c r="H11" i="1"/>
  <c r="H10" i="1"/>
  <c r="H9" i="1"/>
  <c r="H8" i="1"/>
  <c r="H7" i="1"/>
  <c r="H6" i="1"/>
  <c r="H5" i="1"/>
  <c r="H4" i="1"/>
</calcChain>
</file>

<file path=xl/sharedStrings.xml><?xml version="1.0" encoding="utf-8"?>
<sst xmlns="http://schemas.openxmlformats.org/spreadsheetml/2006/main" count="31" uniqueCount="23">
  <si>
    <t>Buying price from AMTZ</t>
  </si>
  <si>
    <t>Sr. No.</t>
  </si>
  <si>
    <t>Product Name</t>
  </si>
  <si>
    <t>Qty.</t>
  </si>
  <si>
    <t>MRP.</t>
  </si>
  <si>
    <t>DB Cost</t>
  </si>
  <si>
    <t xml:space="preserve">GST </t>
  </si>
  <si>
    <t xml:space="preserve">Total Amount With GST </t>
  </si>
  <si>
    <t>GST %</t>
  </si>
  <si>
    <t>GST Amt</t>
  </si>
  <si>
    <t>Urea 200 Accurex</t>
  </si>
  <si>
    <t>1 Kit</t>
  </si>
  <si>
    <t>Alkaline Phosphatase 60</t>
  </si>
  <si>
    <r>
      <t xml:space="preserve">Cholesterol </t>
    </r>
    <r>
      <rPr>
        <sz val="10"/>
        <color rgb="FF080808"/>
        <rFont val="Times New Roman"/>
        <family val="1"/>
      </rPr>
      <t xml:space="preserve">50 </t>
    </r>
    <r>
      <rPr>
        <sz val="10"/>
        <rFont val="Times New Roman"/>
        <family val="1"/>
      </rPr>
      <t>Infinite</t>
    </r>
  </si>
  <si>
    <t>Uric Acid 50 -Infinite</t>
  </si>
  <si>
    <t>Total Protein 100</t>
  </si>
  <si>
    <t>Albumin 100</t>
  </si>
  <si>
    <t>Tryglycerides 600- Infinite</t>
  </si>
  <si>
    <t>Triglycerides 50- Infinite</t>
  </si>
  <si>
    <t>Calcium Arsenazo Mono Pack-2</t>
  </si>
  <si>
    <t>Total</t>
  </si>
  <si>
    <t xml:space="preserve">TOTAL : </t>
  </si>
  <si>
    <t>Online 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</si>
</sst>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\ #,##0.00"/>
  </numFmts>
  <fonts count="7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name val="Times New Roman"/>
      <family val="1"/>
    </font>
    <font>
      <sz val="10"/>
      <color rgb="FF050A1F"/>
      <name val="Times New Roman"/>
      <family val="1"/>
    </font>
    <font>
      <sz val="10"/>
      <color rgb="FF080808"/>
      <name val="Times New Roman"/>
      <family val="1"/>
    </font>
    <font>
      <sz val="10"/>
      <color rgb="FF0F0F0F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vertical="center"/>
    </xf>
    <xf numFmtId="164" fontId="1" fillId="0" borderId="0" xfId="0" applyNumberFormat="1" applyFont="1" applyFill="1" applyBorder="1" applyAlignment="1">
      <alignment horizontal="center" vertical="top"/>
    </xf>
    <xf numFmtId="10" fontId="1" fillId="0" borderId="0" xfId="0" applyNumberFormat="1" applyFont="1" applyFill="1" applyBorder="1" applyAlignment="1">
      <alignment horizontal="center" vertical="top"/>
    </xf>
    <xf numFmtId="164" fontId="1" fillId="0" borderId="0" xfId="0" applyNumberFormat="1" applyFont="1" applyFill="1" applyBorder="1" applyAlignment="1">
      <alignment horizontal="center" vertical="top" wrapText="1"/>
    </xf>
    <xf numFmtId="0" fontId="2" fillId="0" borderId="2" xfId="0" applyFont="1" applyFill="1" applyBorder="1" applyAlignment="1">
      <alignment horizontal="center" vertical="top" wrapText="1"/>
    </xf>
    <xf numFmtId="0" fontId="2" fillId="0" borderId="2" xfId="0" applyFont="1" applyFill="1" applyBorder="1" applyAlignment="1">
      <alignment vertical="top"/>
    </xf>
    <xf numFmtId="0" fontId="2" fillId="0" borderId="3" xfId="0" applyFont="1" applyFill="1" applyBorder="1" applyAlignment="1">
      <alignment horizontal="center" vertical="top" wrapText="1"/>
    </xf>
    <xf numFmtId="164" fontId="2" fillId="0" borderId="2" xfId="0" applyNumberFormat="1" applyFont="1" applyFill="1" applyBorder="1" applyAlignment="1">
      <alignment horizontal="center" vertical="top" wrapText="1"/>
    </xf>
    <xf numFmtId="10" fontId="2" fillId="0" borderId="2" xfId="0" applyNumberFormat="1" applyFont="1" applyFill="1" applyBorder="1" applyAlignment="1">
      <alignment horizontal="center" vertical="top" wrapText="1"/>
    </xf>
    <xf numFmtId="1" fontId="3" fillId="0" borderId="2" xfId="0" applyNumberFormat="1" applyFont="1" applyFill="1" applyBorder="1" applyAlignment="1">
      <alignment horizontal="center" vertical="top" shrinkToFit="1"/>
    </xf>
    <xf numFmtId="0" fontId="2" fillId="0" borderId="2" xfId="0" applyFont="1" applyFill="1" applyBorder="1" applyAlignment="1">
      <alignment horizontal="left" vertical="top"/>
    </xf>
    <xf numFmtId="164" fontId="1" fillId="0" borderId="2" xfId="0" applyNumberFormat="1" applyFont="1" applyFill="1" applyBorder="1" applyAlignment="1">
      <alignment horizontal="center" vertical="top" shrinkToFit="1"/>
    </xf>
    <xf numFmtId="1" fontId="1" fillId="0" borderId="2" xfId="0" applyNumberFormat="1" applyFont="1" applyFill="1" applyBorder="1" applyAlignment="1">
      <alignment horizontal="center" vertical="top" shrinkToFit="1"/>
    </xf>
    <xf numFmtId="10" fontId="1" fillId="0" borderId="2" xfId="0" applyNumberFormat="1" applyFont="1" applyFill="1" applyBorder="1" applyAlignment="1">
      <alignment horizontal="center" vertical="top" shrinkToFit="1"/>
    </xf>
    <xf numFmtId="1" fontId="5" fillId="0" borderId="2" xfId="0" applyNumberFormat="1" applyFont="1" applyFill="1" applyBorder="1" applyAlignment="1">
      <alignment horizontal="center" vertical="top" shrinkToFit="1"/>
    </xf>
    <xf numFmtId="0" fontId="1" fillId="0" borderId="0" xfId="0" applyFont="1" applyFill="1" applyBorder="1" applyAlignment="1">
      <alignment horizontal="left" vertical="top"/>
    </xf>
    <xf numFmtId="164" fontId="1" fillId="0" borderId="2" xfId="0" applyNumberFormat="1" applyFont="1" applyFill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1" fontId="1" fillId="0" borderId="2" xfId="0" applyNumberFormat="1" applyFont="1" applyFill="1" applyBorder="1" applyAlignment="1">
      <alignment horizontal="center" vertical="top"/>
    </xf>
    <xf numFmtId="0" fontId="1" fillId="0" borderId="0" xfId="0" applyFont="1" applyFill="1" applyBorder="1" applyAlignment="1">
      <alignment vertical="top"/>
    </xf>
    <xf numFmtId="164" fontId="1" fillId="0" borderId="0" xfId="0" applyNumberFormat="1" applyFont="1" applyFill="1" applyBorder="1" applyAlignment="1">
      <alignment vertical="top"/>
    </xf>
    <xf numFmtId="10" fontId="1" fillId="0" borderId="2" xfId="0" applyNumberFormat="1" applyFont="1" applyFill="1" applyBorder="1" applyAlignment="1">
      <alignment horizontal="center" vertical="top"/>
    </xf>
    <xf numFmtId="164" fontId="1" fillId="0" borderId="4" xfId="0" applyNumberFormat="1" applyFont="1" applyFill="1" applyBorder="1" applyAlignment="1">
      <alignment horizontal="center" vertical="top"/>
    </xf>
    <xf numFmtId="164" fontId="1" fillId="0" borderId="4" xfId="0" applyNumberFormat="1" applyFont="1" applyFill="1" applyBorder="1" applyAlignment="1">
      <alignment horizontal="right" vertical="top"/>
    </xf>
    <xf numFmtId="164" fontId="0" fillId="0" borderId="0" xfId="0" applyNumberFormat="1"/>
    <xf numFmtId="0" fontId="0" fillId="0" borderId="2" xfId="0" applyBorder="1"/>
    <xf numFmtId="164" fontId="6" fillId="0" borderId="2" xfId="0" applyNumberFormat="1" applyFont="1" applyBorder="1" applyAlignment="1">
      <alignment horizontal="center"/>
    </xf>
    <xf numFmtId="164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tabSelected="1" workbookViewId="0">
      <selection activeCell="L13" sqref="L13"/>
    </sheetView>
  </sheetViews>
  <sheetFormatPr defaultRowHeight="15" x14ac:dyDescent="0.25"/>
  <cols>
    <col min="1" max="1" width="7.85546875" customWidth="1"/>
    <col min="2" max="2" width="29.5703125" customWidth="1"/>
    <col min="3" max="3" width="7.85546875" customWidth="1"/>
    <col min="4" max="4" width="14.85546875" customWidth="1"/>
    <col min="5" max="5" width="14.140625" customWidth="1"/>
    <col min="7" max="7" width="10.140625" style="26" customWidth="1"/>
    <col min="8" max="8" width="18.28515625" customWidth="1"/>
    <col min="9" max="9" width="13.85546875" bestFit="1" customWidth="1"/>
  </cols>
  <sheetData>
    <row r="1" spans="1:9" ht="38.25" x14ac:dyDescent="0.25">
      <c r="A1" s="1"/>
      <c r="B1" s="2"/>
      <c r="C1" s="1"/>
      <c r="D1" s="3"/>
      <c r="E1" s="1"/>
      <c r="F1" s="4"/>
      <c r="G1" s="3"/>
      <c r="H1" s="5" t="s">
        <v>0</v>
      </c>
    </row>
    <row r="2" spans="1:9" ht="25.5" x14ac:dyDescent="0.25">
      <c r="A2" s="6" t="s">
        <v>1</v>
      </c>
      <c r="B2" s="7" t="s">
        <v>2</v>
      </c>
      <c r="C2" s="8" t="s">
        <v>3</v>
      </c>
      <c r="D2" s="9" t="s">
        <v>4</v>
      </c>
      <c r="E2" s="6" t="s">
        <v>5</v>
      </c>
      <c r="F2" s="23" t="s">
        <v>6</v>
      </c>
      <c r="G2" s="23"/>
      <c r="H2" s="9" t="s">
        <v>7</v>
      </c>
      <c r="I2" s="27" t="s">
        <v>22</v>
      </c>
    </row>
    <row r="3" spans="1:9" x14ac:dyDescent="0.25">
      <c r="A3" s="6"/>
      <c r="B3" s="7"/>
      <c r="C3" s="8"/>
      <c r="D3" s="9"/>
      <c r="E3" s="6"/>
      <c r="F3" s="10" t="s">
        <v>8</v>
      </c>
      <c r="G3" s="9" t="s">
        <v>9</v>
      </c>
      <c r="H3" s="9"/>
      <c r="I3" s="27"/>
    </row>
    <row r="4" spans="1:9" x14ac:dyDescent="0.25">
      <c r="A4" s="11">
        <v>1</v>
      </c>
      <c r="B4" s="12" t="s">
        <v>10</v>
      </c>
      <c r="C4" s="8" t="s">
        <v>11</v>
      </c>
      <c r="D4" s="13">
        <v>2027</v>
      </c>
      <c r="E4" s="14">
        <v>1038</v>
      </c>
      <c r="F4" s="15">
        <v>0.12</v>
      </c>
      <c r="G4" s="13">
        <v>124.56</v>
      </c>
      <c r="H4" s="13">
        <f t="shared" ref="H4:H12" si="0">E4+G4</f>
        <v>1162.56</v>
      </c>
      <c r="I4" s="13">
        <v>1540</v>
      </c>
    </row>
    <row r="5" spans="1:9" x14ac:dyDescent="0.25">
      <c r="A5" s="14">
        <v>2</v>
      </c>
      <c r="B5" s="12" t="s">
        <v>12</v>
      </c>
      <c r="C5" s="8" t="s">
        <v>11</v>
      </c>
      <c r="D5" s="13">
        <v>1083</v>
      </c>
      <c r="E5" s="14">
        <v>538</v>
      </c>
      <c r="F5" s="15">
        <v>0.12</v>
      </c>
      <c r="G5" s="13">
        <v>64.56</v>
      </c>
      <c r="H5" s="13">
        <f t="shared" si="0"/>
        <v>602.55999999999995</v>
      </c>
      <c r="I5" s="13">
        <v>1000</v>
      </c>
    </row>
    <row r="6" spans="1:9" x14ac:dyDescent="0.25">
      <c r="A6" s="14">
        <v>3</v>
      </c>
      <c r="B6" s="12" t="s">
        <v>13</v>
      </c>
      <c r="C6" s="8" t="s">
        <v>11</v>
      </c>
      <c r="D6" s="13">
        <v>1101</v>
      </c>
      <c r="E6" s="14">
        <v>450</v>
      </c>
      <c r="F6" s="15">
        <v>0.12</v>
      </c>
      <c r="G6" s="13">
        <v>54</v>
      </c>
      <c r="H6" s="13">
        <f t="shared" si="0"/>
        <v>504</v>
      </c>
      <c r="I6" s="13">
        <v>1450</v>
      </c>
    </row>
    <row r="7" spans="1:9" x14ac:dyDescent="0.25">
      <c r="A7" s="14">
        <v>4</v>
      </c>
      <c r="B7" s="12" t="s">
        <v>14</v>
      </c>
      <c r="C7" s="8" t="s">
        <v>11</v>
      </c>
      <c r="D7" s="13">
        <v>1158</v>
      </c>
      <c r="E7" s="14">
        <v>474</v>
      </c>
      <c r="F7" s="15">
        <v>0.12</v>
      </c>
      <c r="G7" s="13">
        <v>56.88</v>
      </c>
      <c r="H7" s="13">
        <f t="shared" si="0"/>
        <v>530.88</v>
      </c>
      <c r="I7" s="13">
        <v>1350</v>
      </c>
    </row>
    <row r="8" spans="1:9" x14ac:dyDescent="0.25">
      <c r="A8" s="14">
        <v>5</v>
      </c>
      <c r="B8" s="12" t="s">
        <v>15</v>
      </c>
      <c r="C8" s="8" t="s">
        <v>11</v>
      </c>
      <c r="D8" s="13">
        <v>564</v>
      </c>
      <c r="E8" s="14">
        <v>280</v>
      </c>
      <c r="F8" s="15">
        <v>0.12</v>
      </c>
      <c r="G8" s="13">
        <v>33.6</v>
      </c>
      <c r="H8" s="13">
        <f t="shared" si="0"/>
        <v>313.60000000000002</v>
      </c>
      <c r="I8" s="28">
        <v>260</v>
      </c>
    </row>
    <row r="9" spans="1:9" x14ac:dyDescent="0.25">
      <c r="A9" s="14">
        <v>6</v>
      </c>
      <c r="B9" s="12" t="s">
        <v>16</v>
      </c>
      <c r="C9" s="8" t="s">
        <v>11</v>
      </c>
      <c r="D9" s="13">
        <v>564</v>
      </c>
      <c r="E9" s="14">
        <v>294</v>
      </c>
      <c r="F9" s="15">
        <v>0.12</v>
      </c>
      <c r="G9" s="13">
        <v>35.28</v>
      </c>
      <c r="H9" s="13">
        <f t="shared" si="0"/>
        <v>329.28</v>
      </c>
      <c r="I9" s="13">
        <v>4200</v>
      </c>
    </row>
    <row r="10" spans="1:9" x14ac:dyDescent="0.25">
      <c r="A10" s="14">
        <v>7</v>
      </c>
      <c r="B10" s="12" t="s">
        <v>17</v>
      </c>
      <c r="C10" s="8" t="s">
        <v>11</v>
      </c>
      <c r="D10" s="13">
        <v>14329</v>
      </c>
      <c r="E10" s="14">
        <v>7490</v>
      </c>
      <c r="F10" s="15">
        <v>0.12</v>
      </c>
      <c r="G10" s="13">
        <v>898.8</v>
      </c>
      <c r="H10" s="13">
        <f t="shared" si="0"/>
        <v>8388.7999999999993</v>
      </c>
      <c r="I10" s="13">
        <v>1200</v>
      </c>
    </row>
    <row r="11" spans="1:9" x14ac:dyDescent="0.25">
      <c r="A11" s="14">
        <v>8</v>
      </c>
      <c r="B11" s="12" t="s">
        <v>18</v>
      </c>
      <c r="C11" s="8" t="s">
        <v>11</v>
      </c>
      <c r="D11" s="13">
        <v>1919</v>
      </c>
      <c r="E11" s="14">
        <v>830</v>
      </c>
      <c r="F11" s="15">
        <v>0.12</v>
      </c>
      <c r="G11" s="13">
        <v>99.6</v>
      </c>
      <c r="H11" s="13">
        <f t="shared" si="0"/>
        <v>929.6</v>
      </c>
      <c r="I11" s="13">
        <v>2000</v>
      </c>
    </row>
    <row r="12" spans="1:9" x14ac:dyDescent="0.25">
      <c r="A12" s="16">
        <v>9</v>
      </c>
      <c r="B12" s="12" t="s">
        <v>19</v>
      </c>
      <c r="C12" s="8" t="s">
        <v>11</v>
      </c>
      <c r="D12" s="13">
        <v>579</v>
      </c>
      <c r="E12" s="14">
        <v>222</v>
      </c>
      <c r="F12" s="15">
        <v>0.12</v>
      </c>
      <c r="G12" s="13">
        <v>26.64</v>
      </c>
      <c r="H12" s="13">
        <f t="shared" si="0"/>
        <v>248.64</v>
      </c>
      <c r="I12" s="13">
        <v>1200</v>
      </c>
    </row>
    <row r="13" spans="1:9" x14ac:dyDescent="0.25">
      <c r="A13" s="1"/>
      <c r="B13" s="17"/>
      <c r="C13" s="1"/>
      <c r="D13" s="18"/>
      <c r="E13" s="19"/>
      <c r="F13" s="4"/>
      <c r="G13" s="24">
        <f>SUM(G4:G12)</f>
        <v>1393.9199999999998</v>
      </c>
      <c r="H13" s="18"/>
      <c r="I13" s="27"/>
    </row>
    <row r="14" spans="1:9" x14ac:dyDescent="0.25">
      <c r="A14" s="1"/>
      <c r="B14" s="17"/>
      <c r="C14" s="1" t="s">
        <v>20</v>
      </c>
      <c r="D14" s="18">
        <f>SUM(D4:D12)</f>
        <v>23324</v>
      </c>
      <c r="E14" s="20">
        <f>SUM(E4:E12)</f>
        <v>11616</v>
      </c>
      <c r="F14" s="4"/>
      <c r="G14" s="25" t="s">
        <v>21</v>
      </c>
      <c r="H14" s="18">
        <f>SUM(H4:H13)</f>
        <v>13009.92</v>
      </c>
      <c r="I14" s="29">
        <f>SUM(I4:I12)</f>
        <v>14200</v>
      </c>
    </row>
    <row r="15" spans="1:9" x14ac:dyDescent="0.25">
      <c r="A15" s="21"/>
      <c r="B15" s="21"/>
      <c r="C15" s="21"/>
      <c r="D15" s="22"/>
      <c r="E15" s="21"/>
      <c r="F15" s="21"/>
      <c r="G15" s="22"/>
      <c r="H15" s="21"/>
    </row>
  </sheetData>
  <mergeCells count="1">
    <mergeCell ref="F2:G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2025-09-15T09:23:57Z</dcterms:created>
  <dcterms:modified xsi:type="dcterms:W3CDTF">2025-09-15T12:17:43Z</dcterms:modified>
</cp:coreProperties>
</file>