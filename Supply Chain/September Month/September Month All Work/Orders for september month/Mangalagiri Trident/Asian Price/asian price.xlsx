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8940" windowHeight="50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4" i="1" l="1"/>
</calcChain>
</file>

<file path=xl/sharedStrings.xml><?xml version="1.0" encoding="utf-8"?>
<sst xmlns="http://schemas.openxmlformats.org/spreadsheetml/2006/main" count="31" uniqueCount="31">
  <si>
    <r>
      <rPr>
        <sz val="11"/>
        <rFont val="Times New Roman"/>
        <family val="1"/>
      </rPr>
      <t>S.No</t>
    </r>
  </si>
  <si>
    <r>
      <rPr>
        <sz val="11"/>
        <rFont val="Times New Roman"/>
        <family val="1"/>
      </rPr>
      <t>Name of the product</t>
    </r>
  </si>
  <si>
    <r>
      <rPr>
        <sz val="11"/>
        <rFont val="Times New Roman"/>
        <family val="1"/>
      </rPr>
      <t>Qty</t>
    </r>
  </si>
  <si>
    <r>
      <rPr>
        <sz val="11"/>
        <rFont val="Times New Roman"/>
        <family val="1"/>
      </rPr>
      <t>Unit Price Including GST</t>
    </r>
  </si>
  <si>
    <r>
      <rPr>
        <sz val="11"/>
        <rFont val="Times New Roman"/>
        <family val="1"/>
      </rPr>
      <t>Total Incl GST</t>
    </r>
  </si>
  <si>
    <r>
      <rPr>
        <sz val="11"/>
        <rFont val="Times New Roman"/>
        <family val="1"/>
      </rPr>
      <t>Dental sticks</t>
    </r>
  </si>
  <si>
    <r>
      <rPr>
        <sz val="11"/>
        <rFont val="Times New Roman"/>
        <family val="1"/>
      </rPr>
      <t>Dental Posts Box</t>
    </r>
  </si>
  <si>
    <r>
      <rPr>
        <sz val="11"/>
        <rFont val="Times New Roman"/>
        <family val="1"/>
      </rPr>
      <t>RC Solve</t>
    </r>
  </si>
  <si>
    <r>
      <rPr>
        <sz val="11"/>
        <rFont val="Times New Roman"/>
        <family val="1"/>
      </rPr>
      <t>Aerotespray</t>
    </r>
  </si>
  <si>
    <r>
      <rPr>
        <sz val="11"/>
        <rFont val="Times New Roman"/>
        <family val="1"/>
      </rPr>
      <t>Suction tips</t>
    </r>
  </si>
  <si>
    <r>
      <rPr>
        <sz val="11"/>
        <rFont val="Times New Roman"/>
        <family val="1"/>
      </rPr>
      <t>Wax sheet</t>
    </r>
  </si>
  <si>
    <r>
      <rPr>
        <sz val="11"/>
        <rFont val="Times New Roman"/>
        <family val="1"/>
      </rPr>
      <t>K-Files 25, 25nm</t>
    </r>
  </si>
  <si>
    <r>
      <rPr>
        <sz val="11"/>
        <rFont val="Times New Roman"/>
        <family val="1"/>
      </rPr>
      <t>K-Files 15,25nm-white</t>
    </r>
  </si>
  <si>
    <r>
      <rPr>
        <sz val="11"/>
        <rFont val="Times New Roman"/>
        <family val="1"/>
      </rPr>
      <t>K-Files 10,25nm</t>
    </r>
  </si>
  <si>
    <r>
      <rPr>
        <sz val="9"/>
        <rFont val="Times New Roman"/>
        <family val="1"/>
      </rPr>
      <t>K- Files Assorted</t>
    </r>
  </si>
  <si>
    <r>
      <rPr>
        <sz val="11"/>
        <rFont val="Times New Roman"/>
        <family val="1"/>
      </rPr>
      <t>TF 13C - 5 (Mani Dia Burs)</t>
    </r>
  </si>
  <si>
    <r>
      <rPr>
        <sz val="11"/>
        <rFont val="Times New Roman"/>
        <family val="1"/>
      </rPr>
      <t>Extra - 12 (Mani Dia Burs)</t>
    </r>
  </si>
  <si>
    <r>
      <rPr>
        <sz val="11"/>
        <rFont val="Times New Roman"/>
        <family val="1"/>
      </rPr>
      <t>Articulating Papers</t>
    </r>
  </si>
  <si>
    <r>
      <rPr>
        <sz val="11"/>
        <rFont val="Times New Roman"/>
        <family val="1"/>
      </rPr>
      <t>Suture Needles - No 5</t>
    </r>
  </si>
  <si>
    <r>
      <rPr>
        <sz val="11"/>
        <rFont val="Times New Roman"/>
        <family val="1"/>
      </rPr>
      <t>Suture thread</t>
    </r>
  </si>
  <si>
    <r>
      <rPr>
        <sz val="9"/>
        <rFont val="Times New Roman"/>
        <family val="1"/>
      </rPr>
      <t>KALABHAI DENTAL STONE 3KG PACK</t>
    </r>
  </si>
  <si>
    <r>
      <rPr>
        <sz val="11"/>
        <rFont val="Times New Roman"/>
        <family val="1"/>
      </rPr>
      <t>Rotary files</t>
    </r>
  </si>
  <si>
    <r>
      <rPr>
        <sz val="11"/>
        <rFont val="Times New Roman"/>
        <family val="1"/>
      </rPr>
      <t>GP Points 4% - white</t>
    </r>
  </si>
  <si>
    <r>
      <rPr>
        <sz val="11"/>
        <rFont val="Times New Roman"/>
        <family val="1"/>
      </rPr>
      <t>Hand piece - (push)</t>
    </r>
  </si>
  <si>
    <r>
      <rPr>
        <sz val="11"/>
        <rFont val="Times New Roman"/>
        <family val="1"/>
      </rPr>
      <t>Glass Ionomer  - 9</t>
    </r>
  </si>
  <si>
    <r>
      <rPr>
        <sz val="9"/>
        <rFont val="Times New Roman"/>
        <family val="1"/>
      </rPr>
      <t>GIC FILLING SHOFU</t>
    </r>
  </si>
  <si>
    <r>
      <rPr>
        <sz val="11"/>
        <rFont val="Times New Roman"/>
        <family val="1"/>
      </rPr>
      <t>Total</t>
    </r>
  </si>
  <si>
    <t>Qty</t>
  </si>
  <si>
    <t>price each</t>
  </si>
  <si>
    <t>Impression Material Alginate Dust Free 750 GM ORIKAM</t>
  </si>
  <si>
    <t>Inclusive of GST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</si>
</sst>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1"/>
      <name val="Times New Roman"/>
      <family val="1"/>
    </font>
    <font>
      <sz val="11"/>
      <color rgb="FF000000"/>
      <name val="Times New Roman"/>
      <family val="2"/>
    </font>
    <font>
      <sz val="9"/>
      <name val="Times New Roman"/>
      <family val="1"/>
    </font>
    <font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2" fillId="2" borderId="1" xfId="1" applyFont="1" applyFill="1" applyBorder="1" applyAlignment="1">
      <alignment horizontal="center" vertical="top" wrapText="1"/>
    </xf>
    <xf numFmtId="0" fontId="2" fillId="2" borderId="1" xfId="1" applyFont="1" applyFill="1" applyBorder="1" applyAlignment="1">
      <alignment horizontal="left" vertical="top" wrapText="1" indent="1"/>
    </xf>
    <xf numFmtId="1" fontId="3" fillId="0" borderId="1" xfId="1" applyNumberFormat="1" applyFont="1" applyFill="1" applyBorder="1" applyAlignment="1">
      <alignment horizontal="center" vertical="top" shrinkToFit="1"/>
    </xf>
    <xf numFmtId="0" fontId="2" fillId="0" borderId="1" xfId="1" applyFont="1" applyFill="1" applyBorder="1" applyAlignment="1">
      <alignment horizontal="center" vertical="top" wrapText="1"/>
    </xf>
    <xf numFmtId="164" fontId="3" fillId="0" borderId="1" xfId="1" applyNumberFormat="1" applyFont="1" applyFill="1" applyBorder="1" applyAlignment="1">
      <alignment horizontal="center" vertical="top" shrinkToFit="1"/>
    </xf>
    <xf numFmtId="0" fontId="0" fillId="0" borderId="1" xfId="0" applyBorder="1" applyAlignment="1">
      <alignment horizontal="center"/>
    </xf>
    <xf numFmtId="2" fontId="3" fillId="0" borderId="1" xfId="1" applyNumberFormat="1" applyFont="1" applyFill="1" applyBorder="1" applyAlignment="1">
      <alignment horizontal="center" vertical="top" shrinkToFit="1"/>
    </xf>
    <xf numFmtId="0" fontId="3" fillId="0" borderId="1" xfId="1" applyNumberFormat="1" applyFont="1" applyFill="1" applyBorder="1" applyAlignment="1">
      <alignment horizontal="center" vertical="top" shrinkToFit="1"/>
    </xf>
    <xf numFmtId="0" fontId="4" fillId="0" borderId="1" xfId="1" applyFont="1" applyFill="1" applyBorder="1" applyAlignment="1">
      <alignment horizontal="center" vertical="top" wrapText="1"/>
    </xf>
    <xf numFmtId="0" fontId="5" fillId="0" borderId="1" xfId="1" applyFont="1" applyFill="1" applyBorder="1" applyAlignment="1">
      <alignment horizontal="left" vertical="top" wrapText="1" indent="2"/>
    </xf>
    <xf numFmtId="0" fontId="1" fillId="0" borderId="1" xfId="1" applyFill="1" applyBorder="1" applyAlignment="1">
      <alignment horizontal="left" wrapText="1"/>
    </xf>
    <xf numFmtId="164" fontId="3" fillId="2" borderId="1" xfId="1" applyNumberFormat="1" applyFont="1" applyFill="1" applyBorder="1" applyAlignment="1">
      <alignment horizontal="center" vertical="top" shrinkToFi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tabSelected="1" topLeftCell="A10" workbookViewId="0">
      <selection activeCell="H24" sqref="H24"/>
    </sheetView>
  </sheetViews>
  <sheetFormatPr defaultRowHeight="15" x14ac:dyDescent="0.25"/>
  <cols>
    <col min="2" max="2" width="22.140625" customWidth="1"/>
    <col min="4" max="4" width="17.140625" customWidth="1"/>
    <col min="5" max="5" width="18.42578125" customWidth="1"/>
    <col min="6" max="8" width="9.140625" style="1"/>
  </cols>
  <sheetData>
    <row r="1" spans="1:8" ht="30" x14ac:dyDescent="0.25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28</v>
      </c>
      <c r="G1" s="2" t="s">
        <v>27</v>
      </c>
      <c r="H1" s="2" t="s">
        <v>30</v>
      </c>
    </row>
    <row r="2" spans="1:8" x14ac:dyDescent="0.25">
      <c r="A2" s="4">
        <v>1</v>
      </c>
      <c r="B2" s="5" t="s">
        <v>5</v>
      </c>
      <c r="C2" s="4">
        <v>1</v>
      </c>
      <c r="D2" s="6">
        <v>144.9</v>
      </c>
      <c r="E2" s="6">
        <v>144.9</v>
      </c>
      <c r="F2" s="7">
        <v>190</v>
      </c>
      <c r="G2" s="7">
        <v>1</v>
      </c>
      <c r="H2" s="7">
        <v>195.7</v>
      </c>
    </row>
    <row r="3" spans="1:8" x14ac:dyDescent="0.25">
      <c r="A3" s="4">
        <v>2</v>
      </c>
      <c r="B3" s="5" t="s">
        <v>6</v>
      </c>
      <c r="C3" s="4">
        <v>1</v>
      </c>
      <c r="D3" s="8">
        <v>133.35</v>
      </c>
      <c r="E3" s="8">
        <v>133.35</v>
      </c>
      <c r="F3" s="7">
        <v>560</v>
      </c>
      <c r="G3" s="7">
        <v>1</v>
      </c>
      <c r="H3" s="7">
        <v>576.79999999999995</v>
      </c>
    </row>
    <row r="4" spans="1:8" x14ac:dyDescent="0.25">
      <c r="A4" s="4">
        <v>3</v>
      </c>
      <c r="B4" s="5" t="s">
        <v>7</v>
      </c>
      <c r="C4" s="4">
        <v>1</v>
      </c>
      <c r="D4" s="6">
        <v>283.5</v>
      </c>
      <c r="E4" s="6">
        <v>283.5</v>
      </c>
      <c r="F4" s="7">
        <v>210</v>
      </c>
      <c r="G4" s="7">
        <v>1</v>
      </c>
      <c r="H4" s="7">
        <v>216.3</v>
      </c>
    </row>
    <row r="5" spans="1:8" x14ac:dyDescent="0.25">
      <c r="A5" s="4">
        <v>4</v>
      </c>
      <c r="B5" s="5" t="s">
        <v>8</v>
      </c>
      <c r="C5" s="4">
        <v>1</v>
      </c>
      <c r="D5" s="6">
        <v>1039.5</v>
      </c>
      <c r="E5" s="6">
        <v>1039.5</v>
      </c>
      <c r="F5" s="7">
        <v>560</v>
      </c>
      <c r="G5" s="7">
        <v>1</v>
      </c>
      <c r="H5" s="7">
        <v>576.79999999999995</v>
      </c>
    </row>
    <row r="6" spans="1:8" x14ac:dyDescent="0.25">
      <c r="A6" s="4">
        <v>5</v>
      </c>
      <c r="B6" s="5" t="s">
        <v>9</v>
      </c>
      <c r="C6" s="4">
        <v>4</v>
      </c>
      <c r="D6" s="8">
        <v>156.44999999999999</v>
      </c>
      <c r="E6" s="6">
        <v>625.79999999999995</v>
      </c>
      <c r="F6" s="7">
        <v>200</v>
      </c>
      <c r="G6" s="7">
        <v>4</v>
      </c>
      <c r="H6" s="7">
        <v>824</v>
      </c>
    </row>
    <row r="7" spans="1:8" x14ac:dyDescent="0.25">
      <c r="A7" s="4">
        <v>6</v>
      </c>
      <c r="B7" s="5" t="s">
        <v>10</v>
      </c>
      <c r="C7" s="4">
        <v>2</v>
      </c>
      <c r="D7" s="4">
        <v>462</v>
      </c>
      <c r="E7" s="4">
        <v>924</v>
      </c>
      <c r="F7" s="4">
        <v>190</v>
      </c>
      <c r="G7" s="4">
        <v>2</v>
      </c>
      <c r="H7" s="4">
        <v>391.4</v>
      </c>
    </row>
    <row r="8" spans="1:8" x14ac:dyDescent="0.25">
      <c r="A8" s="4">
        <v>7</v>
      </c>
      <c r="B8" s="5" t="s">
        <v>11</v>
      </c>
      <c r="C8" s="4">
        <v>2</v>
      </c>
      <c r="D8" s="6">
        <v>214.2</v>
      </c>
      <c r="E8" s="6">
        <v>428.4</v>
      </c>
      <c r="F8" s="7">
        <v>210</v>
      </c>
      <c r="G8" s="7">
        <v>2</v>
      </c>
      <c r="H8" s="7">
        <v>432.6</v>
      </c>
    </row>
    <row r="9" spans="1:8" x14ac:dyDescent="0.25">
      <c r="A9" s="4">
        <v>8</v>
      </c>
      <c r="B9" s="5" t="s">
        <v>12</v>
      </c>
      <c r="C9" s="4">
        <v>5</v>
      </c>
      <c r="D9" s="6">
        <v>214.2</v>
      </c>
      <c r="E9" s="4">
        <v>1071</v>
      </c>
      <c r="F9" s="4">
        <v>210</v>
      </c>
      <c r="G9" s="4">
        <v>5</v>
      </c>
      <c r="H9" s="9">
        <v>1081.5</v>
      </c>
    </row>
    <row r="10" spans="1:8" x14ac:dyDescent="0.25">
      <c r="A10" s="4">
        <v>9</v>
      </c>
      <c r="B10" s="5" t="s">
        <v>13</v>
      </c>
      <c r="C10" s="4">
        <v>2</v>
      </c>
      <c r="D10" s="6">
        <v>214.2</v>
      </c>
      <c r="E10" s="6">
        <v>428.4</v>
      </c>
      <c r="F10" s="7">
        <v>210</v>
      </c>
      <c r="G10" s="7">
        <v>2</v>
      </c>
      <c r="H10" s="7">
        <v>432.6</v>
      </c>
    </row>
    <row r="11" spans="1:8" x14ac:dyDescent="0.25">
      <c r="A11" s="4">
        <v>10</v>
      </c>
      <c r="B11" s="10" t="s">
        <v>14</v>
      </c>
      <c r="C11" s="4">
        <v>2</v>
      </c>
      <c r="D11" s="6">
        <v>214.2</v>
      </c>
      <c r="E11" s="6">
        <v>428.4</v>
      </c>
      <c r="F11" s="4">
        <v>210</v>
      </c>
      <c r="G11" s="4">
        <v>2</v>
      </c>
      <c r="H11" s="4">
        <v>432.6</v>
      </c>
    </row>
    <row r="12" spans="1:8" ht="30" x14ac:dyDescent="0.25">
      <c r="A12" s="4">
        <v>11</v>
      </c>
      <c r="B12" s="5" t="s">
        <v>15</v>
      </c>
      <c r="C12" s="4">
        <v>5</v>
      </c>
      <c r="D12" s="6">
        <v>69.3</v>
      </c>
      <c r="E12" s="6">
        <v>346.5</v>
      </c>
      <c r="F12" s="7">
        <v>80</v>
      </c>
      <c r="G12" s="7">
        <v>5</v>
      </c>
      <c r="H12" s="7">
        <v>412</v>
      </c>
    </row>
    <row r="13" spans="1:8" ht="30" x14ac:dyDescent="0.25">
      <c r="A13" s="4">
        <v>12</v>
      </c>
      <c r="B13" s="5" t="s">
        <v>16</v>
      </c>
      <c r="C13" s="4">
        <v>3</v>
      </c>
      <c r="D13" s="6">
        <v>69.3</v>
      </c>
      <c r="E13" s="6">
        <v>207.9</v>
      </c>
      <c r="F13" s="7"/>
      <c r="G13" s="7"/>
      <c r="H13" s="7"/>
    </row>
    <row r="14" spans="1:8" x14ac:dyDescent="0.25">
      <c r="A14" s="4">
        <v>13</v>
      </c>
      <c r="B14" s="5" t="s">
        <v>17</v>
      </c>
      <c r="C14" s="4">
        <v>5</v>
      </c>
      <c r="D14" s="8">
        <v>80.849999999999994</v>
      </c>
      <c r="E14" s="8">
        <v>404.25</v>
      </c>
      <c r="F14" s="7">
        <v>70</v>
      </c>
      <c r="G14" s="7">
        <v>5</v>
      </c>
      <c r="H14" s="7">
        <v>5360.5</v>
      </c>
    </row>
    <row r="15" spans="1:8" x14ac:dyDescent="0.25">
      <c r="A15" s="4">
        <v>14</v>
      </c>
      <c r="B15" s="5" t="s">
        <v>18</v>
      </c>
      <c r="C15" s="4">
        <v>18</v>
      </c>
      <c r="D15" s="8">
        <v>34.65</v>
      </c>
      <c r="E15" s="6">
        <v>623.70000000000005</v>
      </c>
      <c r="F15" s="7"/>
      <c r="G15" s="7"/>
      <c r="H15" s="7"/>
    </row>
    <row r="16" spans="1:8" x14ac:dyDescent="0.25">
      <c r="A16" s="4">
        <v>15</v>
      </c>
      <c r="B16" s="5" t="s">
        <v>19</v>
      </c>
      <c r="C16" s="4">
        <v>1</v>
      </c>
      <c r="D16" s="8">
        <v>150.15</v>
      </c>
      <c r="E16" s="8">
        <v>150.15</v>
      </c>
      <c r="F16" s="7">
        <v>450</v>
      </c>
      <c r="G16" s="7">
        <v>1</v>
      </c>
      <c r="H16" s="7">
        <v>463.5</v>
      </c>
    </row>
    <row r="17" spans="1:8" ht="24" x14ac:dyDescent="0.25">
      <c r="A17" s="4">
        <v>16</v>
      </c>
      <c r="B17" s="10" t="s">
        <v>20</v>
      </c>
      <c r="C17" s="4">
        <v>4</v>
      </c>
      <c r="D17" s="8">
        <v>404.25</v>
      </c>
      <c r="E17" s="4">
        <v>1617</v>
      </c>
      <c r="F17" s="4">
        <v>240</v>
      </c>
      <c r="G17" s="7">
        <v>4</v>
      </c>
      <c r="H17" s="4">
        <v>9888.7999999999993</v>
      </c>
    </row>
    <row r="18" spans="1:8" ht="36" x14ac:dyDescent="0.25">
      <c r="A18" s="4">
        <v>17</v>
      </c>
      <c r="B18" s="11" t="s">
        <v>29</v>
      </c>
      <c r="C18" s="4">
        <v>2</v>
      </c>
      <c r="D18" s="6">
        <v>300.3</v>
      </c>
      <c r="E18" s="6">
        <v>600.6</v>
      </c>
      <c r="F18" s="7">
        <v>570</v>
      </c>
      <c r="G18" s="7">
        <v>1</v>
      </c>
      <c r="H18" s="7">
        <v>587.1</v>
      </c>
    </row>
    <row r="19" spans="1:8" x14ac:dyDescent="0.25">
      <c r="A19" s="4">
        <v>18</v>
      </c>
      <c r="B19" s="5" t="s">
        <v>21</v>
      </c>
      <c r="C19" s="4">
        <v>1</v>
      </c>
      <c r="D19" s="6">
        <v>1068.9000000000001</v>
      </c>
      <c r="E19" s="6">
        <v>1068.9000000000001</v>
      </c>
      <c r="F19" s="7">
        <v>1050</v>
      </c>
      <c r="G19" s="7">
        <v>1</v>
      </c>
      <c r="H19" s="7">
        <v>1081.5</v>
      </c>
    </row>
    <row r="20" spans="1:8" x14ac:dyDescent="0.25">
      <c r="A20" s="4">
        <v>19</v>
      </c>
      <c r="B20" s="5" t="s">
        <v>22</v>
      </c>
      <c r="C20" s="4">
        <v>2</v>
      </c>
      <c r="D20" s="6">
        <v>352.8</v>
      </c>
      <c r="E20" s="6">
        <v>705.6</v>
      </c>
      <c r="F20" s="7">
        <v>290</v>
      </c>
      <c r="G20" s="7">
        <v>2</v>
      </c>
      <c r="H20" s="7">
        <v>597.4</v>
      </c>
    </row>
    <row r="21" spans="1:8" x14ac:dyDescent="0.25">
      <c r="A21" s="4">
        <v>21</v>
      </c>
      <c r="B21" s="5" t="s">
        <v>23</v>
      </c>
      <c r="C21" s="4">
        <v>2</v>
      </c>
      <c r="D21" s="6">
        <v>2217.6</v>
      </c>
      <c r="E21" s="6">
        <v>4435.2</v>
      </c>
      <c r="F21" s="7">
        <v>3600</v>
      </c>
      <c r="G21" s="7">
        <v>2</v>
      </c>
      <c r="H21" s="7">
        <v>7416</v>
      </c>
    </row>
    <row r="22" spans="1:8" x14ac:dyDescent="0.25">
      <c r="A22" s="4">
        <v>22</v>
      </c>
      <c r="B22" s="5" t="s">
        <v>24</v>
      </c>
      <c r="C22" s="4">
        <v>1</v>
      </c>
      <c r="D22" s="8">
        <v>3337.95</v>
      </c>
      <c r="E22" s="8">
        <v>3337.95</v>
      </c>
      <c r="F22" s="7">
        <v>3000</v>
      </c>
      <c r="G22" s="7">
        <v>1</v>
      </c>
      <c r="H22" s="7">
        <v>3090</v>
      </c>
    </row>
    <row r="23" spans="1:8" x14ac:dyDescent="0.25">
      <c r="A23" s="4">
        <v>23</v>
      </c>
      <c r="B23" s="10" t="s">
        <v>25</v>
      </c>
      <c r="C23" s="4">
        <v>2</v>
      </c>
      <c r="D23" s="8">
        <v>1582.35</v>
      </c>
      <c r="E23" s="6">
        <v>3164.7</v>
      </c>
      <c r="F23" s="7"/>
      <c r="G23" s="7"/>
      <c r="H23" s="7"/>
    </row>
    <row r="24" spans="1:8" x14ac:dyDescent="0.25">
      <c r="A24" s="12"/>
      <c r="B24" s="12"/>
      <c r="C24" s="12"/>
      <c r="D24" s="2" t="s">
        <v>26</v>
      </c>
      <c r="E24" s="13">
        <v>22169.7</v>
      </c>
      <c r="F24" s="7"/>
      <c r="G24" s="7"/>
      <c r="H24" s="7">
        <f>SUM(H2:H22)</f>
        <v>34057.1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2025-09-22T12:37:17Z</dcterms:created>
  <dcterms:modified xsi:type="dcterms:W3CDTF">2025-09-23T13:22:09Z</dcterms:modified>
</cp:coreProperties>
</file>