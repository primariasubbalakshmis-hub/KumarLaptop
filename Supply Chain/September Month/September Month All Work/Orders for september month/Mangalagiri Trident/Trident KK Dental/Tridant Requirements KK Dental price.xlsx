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2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2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D26" i="2"/>
  <c r="D28" i="2" s="1"/>
  <c r="F26" i="2" l="1"/>
</calcChain>
</file>

<file path=xl/sharedStrings.xml><?xml version="1.0" encoding="utf-8"?>
<sst xmlns="http://schemas.openxmlformats.org/spreadsheetml/2006/main" count="68" uniqueCount="50">
  <si>
    <t xml:space="preserve">S.No </t>
  </si>
  <si>
    <t>Name of the product</t>
  </si>
  <si>
    <t xml:space="preserve">Qty </t>
  </si>
  <si>
    <t>GST</t>
  </si>
  <si>
    <t>Total Amount</t>
  </si>
  <si>
    <t>RC Solve</t>
  </si>
  <si>
    <t>Suction tips</t>
  </si>
  <si>
    <t>Wax sheet</t>
  </si>
  <si>
    <t>K-Files 10,25nm</t>
  </si>
  <si>
    <t xml:space="preserve">K-Files 25, 25nm </t>
  </si>
  <si>
    <t>K-Files 15,25nm-white</t>
  </si>
  <si>
    <t>Suture thread</t>
  </si>
  <si>
    <t xml:space="preserve">Rotary files </t>
  </si>
  <si>
    <t>Dental Posts Box</t>
  </si>
  <si>
    <t xml:space="preserve">Dental sticks </t>
  </si>
  <si>
    <t>TF 13C - 5 (Mani Dia Burs)</t>
  </si>
  <si>
    <t>Extra - 12 (Mani Dia Burs)</t>
  </si>
  <si>
    <t xml:space="preserve">Articulating Papers </t>
  </si>
  <si>
    <t>GP Points 4% - white</t>
  </si>
  <si>
    <t>Hand piece - (push)</t>
  </si>
  <si>
    <t>Glass Ionomer  - 9</t>
  </si>
  <si>
    <t>Suture Needles - No 5</t>
  </si>
  <si>
    <t>Aerotespray</t>
  </si>
  <si>
    <t>KALABHAI DENTAL STONE 3KG PACK</t>
  </si>
  <si>
    <t>Impression Material Alginate Dust Free 450 GM ORIKAM</t>
  </si>
  <si>
    <t>GIC FILLING SHOFU</t>
  </si>
  <si>
    <t>K- Files Assorted</t>
  </si>
  <si>
    <t>OnlineMarket price</t>
  </si>
  <si>
    <t xml:space="preserve">    </t>
  </si>
  <si>
    <t>₹ 1290 In offer</t>
  </si>
  <si>
    <t>290 Not the same brand</t>
  </si>
  <si>
    <t>445 In offer</t>
  </si>
  <si>
    <t>295 In offer</t>
  </si>
  <si>
    <t>230 In offer</t>
  </si>
  <si>
    <t>₹ 280 In offer</t>
  </si>
  <si>
    <t>S.No</t>
  </si>
  <si>
    <t>Qty</t>
  </si>
  <si>
    <t>Dental sticks</t>
  </si>
  <si>
    <t>K-Files 25, 25nm</t>
  </si>
  <si>
    <t>Articulating Papers</t>
  </si>
  <si>
    <t xml:space="preserve">   Suture thread</t>
  </si>
  <si>
    <t>Rotary files</t>
  </si>
  <si>
    <t>Glass Ionomer - 9</t>
  </si>
  <si>
    <t>Primaria Price</t>
  </si>
  <si>
    <t>Primaria Profit with 3% Gst</t>
  </si>
  <si>
    <t>H - Files Assorted</t>
  </si>
  <si>
    <t>TOTAL</t>
  </si>
  <si>
    <t>Total price OF KK Dental with Gst with quantity</t>
  </si>
  <si>
    <t>Delivery charges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</si>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</sst>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5"/>
  <sheetViews>
    <sheetView workbookViewId="0">
      <selection activeCell="H4" sqref="H4"/>
    </sheetView>
  </sheetViews>
  <sheetFormatPr defaultRowHeight="15" x14ac:dyDescent="0.25"/>
  <cols>
    <col min="2" max="2" width="5.5703125" style="1" bestFit="1" customWidth="1"/>
    <col min="3" max="3" width="23.42578125" bestFit="1" customWidth="1"/>
    <col min="4" max="4" width="9.140625" style="1"/>
    <col min="5" max="5" width="4.28515625" bestFit="1" customWidth="1"/>
    <col min="6" max="6" width="13.140625" style="1" bestFit="1" customWidth="1"/>
    <col min="7" max="7" width="18.42578125" style="1" bestFit="1" customWidth="1"/>
  </cols>
  <sheetData>
    <row r="3" spans="2:7" x14ac:dyDescent="0.25">
      <c r="B3" s="1" t="s">
        <v>0</v>
      </c>
      <c r="C3" t="s">
        <v>1</v>
      </c>
      <c r="D3" s="1" t="s">
        <v>2</v>
      </c>
      <c r="E3" t="s">
        <v>3</v>
      </c>
      <c r="F3" s="1" t="s">
        <v>4</v>
      </c>
      <c r="G3" s="1" t="s">
        <v>27</v>
      </c>
    </row>
    <row r="4" spans="2:7" x14ac:dyDescent="0.25">
      <c r="B4" s="1">
        <v>1</v>
      </c>
      <c r="C4" t="s">
        <v>14</v>
      </c>
      <c r="D4" s="1">
        <v>1</v>
      </c>
      <c r="G4" s="1">
        <v>208</v>
      </c>
    </row>
    <row r="5" spans="2:7" x14ac:dyDescent="0.25">
      <c r="B5" s="1">
        <v>2</v>
      </c>
      <c r="C5" t="s">
        <v>13</v>
      </c>
      <c r="D5" s="1">
        <v>1</v>
      </c>
      <c r="G5" s="1">
        <v>290</v>
      </c>
    </row>
    <row r="6" spans="2:7" x14ac:dyDescent="0.25">
      <c r="B6" s="1">
        <v>3</v>
      </c>
      <c r="C6" t="s">
        <v>5</v>
      </c>
      <c r="D6" s="1">
        <v>1</v>
      </c>
      <c r="G6" s="1" t="s">
        <v>34</v>
      </c>
    </row>
    <row r="7" spans="2:7" x14ac:dyDescent="0.25">
      <c r="B7" s="1">
        <v>4</v>
      </c>
      <c r="C7" t="s">
        <v>22</v>
      </c>
      <c r="D7" s="1">
        <v>1</v>
      </c>
    </row>
    <row r="8" spans="2:7" x14ac:dyDescent="0.25">
      <c r="B8" s="1">
        <v>5</v>
      </c>
      <c r="C8" s="5" t="s">
        <v>6</v>
      </c>
      <c r="D8" s="1">
        <v>4</v>
      </c>
      <c r="F8" s="6">
        <v>225</v>
      </c>
      <c r="G8" s="9" t="s">
        <v>33</v>
      </c>
    </row>
    <row r="9" spans="2:7" x14ac:dyDescent="0.25">
      <c r="B9" s="1">
        <v>6</v>
      </c>
      <c r="C9" s="5" t="s">
        <v>7</v>
      </c>
      <c r="D9" s="1">
        <v>2</v>
      </c>
      <c r="F9" s="6">
        <v>199</v>
      </c>
      <c r="G9" s="9" t="s">
        <v>32</v>
      </c>
    </row>
    <row r="10" spans="2:7" x14ac:dyDescent="0.25">
      <c r="B10" s="1">
        <v>7</v>
      </c>
      <c r="C10" t="s">
        <v>9</v>
      </c>
      <c r="D10" s="1">
        <v>2</v>
      </c>
    </row>
    <row r="11" spans="2:7" x14ac:dyDescent="0.25">
      <c r="B11" s="1">
        <v>8</v>
      </c>
      <c r="C11" t="s">
        <v>10</v>
      </c>
      <c r="D11" s="1">
        <v>5</v>
      </c>
    </row>
    <row r="12" spans="2:7" x14ac:dyDescent="0.25">
      <c r="B12" s="1">
        <v>9</v>
      </c>
      <c r="C12" t="s">
        <v>8</v>
      </c>
      <c r="D12" s="1">
        <v>2</v>
      </c>
    </row>
    <row r="13" spans="2:7" x14ac:dyDescent="0.25">
      <c r="B13" s="1">
        <v>10</v>
      </c>
      <c r="C13" s="4" t="s">
        <v>26</v>
      </c>
      <c r="D13" s="1">
        <v>2</v>
      </c>
      <c r="F13" s="1">
        <v>300</v>
      </c>
      <c r="G13" s="1">
        <v>280</v>
      </c>
    </row>
    <row r="14" spans="2:7" x14ac:dyDescent="0.25">
      <c r="B14" s="1">
        <v>11</v>
      </c>
      <c r="C14" t="s">
        <v>15</v>
      </c>
      <c r="D14" s="1">
        <v>5</v>
      </c>
    </row>
    <row r="15" spans="2:7" x14ac:dyDescent="0.25">
      <c r="B15" s="1">
        <v>12</v>
      </c>
      <c r="C15" t="s">
        <v>16</v>
      </c>
      <c r="D15" s="1">
        <v>3</v>
      </c>
    </row>
    <row r="16" spans="2:7" x14ac:dyDescent="0.25">
      <c r="B16" s="1">
        <v>13</v>
      </c>
      <c r="C16" s="5" t="s">
        <v>17</v>
      </c>
      <c r="D16" s="1">
        <v>5</v>
      </c>
      <c r="F16" s="2">
        <v>540</v>
      </c>
      <c r="G16" s="9" t="s">
        <v>31</v>
      </c>
    </row>
    <row r="17" spans="2:8" x14ac:dyDescent="0.25">
      <c r="B17" s="1">
        <v>14</v>
      </c>
      <c r="C17" t="s">
        <v>21</v>
      </c>
      <c r="D17" s="1">
        <v>18</v>
      </c>
      <c r="H17" t="s">
        <v>28</v>
      </c>
    </row>
    <row r="18" spans="2:8" x14ac:dyDescent="0.25">
      <c r="B18" s="1">
        <v>15</v>
      </c>
      <c r="C18" t="s">
        <v>11</v>
      </c>
      <c r="D18" s="1">
        <v>1</v>
      </c>
    </row>
    <row r="19" spans="2:8" ht="24.75" x14ac:dyDescent="0.25">
      <c r="B19" s="1">
        <v>16</v>
      </c>
      <c r="C19" s="3" t="s">
        <v>23</v>
      </c>
      <c r="D19" s="1">
        <v>4</v>
      </c>
      <c r="F19" s="2">
        <v>425</v>
      </c>
      <c r="G19" s="8">
        <v>542</v>
      </c>
    </row>
    <row r="20" spans="2:8" ht="24.75" x14ac:dyDescent="0.25">
      <c r="B20" s="1">
        <v>17</v>
      </c>
      <c r="C20" s="3" t="s">
        <v>24</v>
      </c>
      <c r="D20" s="1">
        <v>2</v>
      </c>
      <c r="F20" s="2">
        <v>490</v>
      </c>
      <c r="G20" s="8" t="s">
        <v>30</v>
      </c>
    </row>
    <row r="21" spans="2:8" x14ac:dyDescent="0.25">
      <c r="B21" s="1">
        <v>18</v>
      </c>
      <c r="C21" t="s">
        <v>12</v>
      </c>
      <c r="D21" s="1">
        <v>1</v>
      </c>
    </row>
    <row r="22" spans="2:8" x14ac:dyDescent="0.25">
      <c r="B22" s="1">
        <v>19</v>
      </c>
      <c r="C22" t="s">
        <v>18</v>
      </c>
      <c r="D22" s="1">
        <v>2</v>
      </c>
    </row>
    <row r="23" spans="2:8" x14ac:dyDescent="0.25">
      <c r="B23" s="1">
        <v>21</v>
      </c>
      <c r="C23" t="s">
        <v>19</v>
      </c>
      <c r="D23" s="1">
        <v>2</v>
      </c>
    </row>
    <row r="24" spans="2:8" x14ac:dyDescent="0.25">
      <c r="B24" s="1">
        <v>22</v>
      </c>
      <c r="C24" t="s">
        <v>20</v>
      </c>
      <c r="D24" s="1">
        <v>1</v>
      </c>
    </row>
    <row r="25" spans="2:8" x14ac:dyDescent="0.25">
      <c r="B25" s="1">
        <v>23</v>
      </c>
      <c r="C25" s="3" t="s">
        <v>25</v>
      </c>
      <c r="D25" s="1">
        <v>2</v>
      </c>
      <c r="F25" s="2">
        <v>1340</v>
      </c>
      <c r="G25" s="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zoomScale="80" zoomScaleNormal="80" workbookViewId="0">
      <selection activeCell="F28" sqref="F28"/>
    </sheetView>
  </sheetViews>
  <sheetFormatPr defaultRowHeight="15" x14ac:dyDescent="0.25"/>
  <cols>
    <col min="2" max="2" width="31.85546875" customWidth="1"/>
    <col min="3" max="3" width="17.28515625" bestFit="1" customWidth="1"/>
    <col min="4" max="4" width="16.28515625" style="1" bestFit="1" customWidth="1"/>
    <col min="5" max="6" width="15.7109375" customWidth="1"/>
  </cols>
  <sheetData>
    <row r="1" spans="1:6" ht="57.75" thickBot="1" x14ac:dyDescent="0.3">
      <c r="A1" s="15" t="s">
        <v>35</v>
      </c>
      <c r="B1" s="16" t="s">
        <v>1</v>
      </c>
      <c r="C1" s="17" t="s">
        <v>36</v>
      </c>
      <c r="D1" s="18" t="s">
        <v>47</v>
      </c>
      <c r="E1" s="18" t="s">
        <v>44</v>
      </c>
      <c r="F1" s="18" t="s">
        <v>43</v>
      </c>
    </row>
    <row r="2" spans="1:6" ht="15.75" thickBot="1" x14ac:dyDescent="0.3">
      <c r="A2" s="10">
        <v>1</v>
      </c>
      <c r="B2" s="11" t="s">
        <v>37</v>
      </c>
      <c r="C2" s="12">
        <v>1</v>
      </c>
      <c r="D2" s="1">
        <v>180</v>
      </c>
      <c r="E2" s="25">
        <v>9</v>
      </c>
      <c r="F2">
        <f>SUM(D2 +E2)</f>
        <v>189</v>
      </c>
    </row>
    <row r="3" spans="1:6" ht="15.75" thickBot="1" x14ac:dyDescent="0.3">
      <c r="A3" s="10">
        <v>2</v>
      </c>
      <c r="B3" s="11" t="s">
        <v>13</v>
      </c>
      <c r="C3" s="12">
        <v>1</v>
      </c>
      <c r="D3" s="1">
        <v>1750</v>
      </c>
      <c r="E3" s="25">
        <v>87.5</v>
      </c>
      <c r="F3">
        <f>SUM(D3 +E3)</f>
        <v>1837.5</v>
      </c>
    </row>
    <row r="4" spans="1:6" ht="15.75" thickBot="1" x14ac:dyDescent="0.3">
      <c r="A4" s="10">
        <v>3</v>
      </c>
      <c r="B4" s="11" t="s">
        <v>5</v>
      </c>
      <c r="C4" s="11">
        <v>1</v>
      </c>
      <c r="D4" s="1">
        <v>230</v>
      </c>
      <c r="E4" s="25">
        <v>11.5</v>
      </c>
      <c r="F4">
        <f>SUM(D4 +E4)</f>
        <v>241.5</v>
      </c>
    </row>
    <row r="5" spans="1:6" ht="15.75" thickBot="1" x14ac:dyDescent="0.3">
      <c r="A5" s="10">
        <v>4</v>
      </c>
      <c r="B5" s="11" t="s">
        <v>22</v>
      </c>
      <c r="C5" s="11">
        <v>1</v>
      </c>
      <c r="D5" s="1">
        <v>450</v>
      </c>
      <c r="E5" s="25">
        <v>22.5</v>
      </c>
      <c r="F5">
        <f>SUM(D5 +E5)</f>
        <v>472.5</v>
      </c>
    </row>
    <row r="6" spans="1:6" ht="15.75" thickBot="1" x14ac:dyDescent="0.3">
      <c r="A6" s="10">
        <v>5</v>
      </c>
      <c r="B6" s="11" t="s">
        <v>6</v>
      </c>
      <c r="C6" s="11">
        <v>4</v>
      </c>
      <c r="D6" s="1">
        <v>660</v>
      </c>
      <c r="E6" s="25">
        <v>33</v>
      </c>
      <c r="F6">
        <f>SUM(D6 +E6)</f>
        <v>693</v>
      </c>
    </row>
    <row r="7" spans="1:6" ht="15.75" thickBot="1" x14ac:dyDescent="0.3">
      <c r="A7" s="10">
        <v>6</v>
      </c>
      <c r="B7" s="11" t="s">
        <v>7</v>
      </c>
      <c r="C7" s="11">
        <v>2</v>
      </c>
      <c r="D7" s="1">
        <v>300</v>
      </c>
      <c r="E7" s="25">
        <v>15</v>
      </c>
      <c r="F7">
        <f>SUM(D7 +E7)</f>
        <v>315</v>
      </c>
    </row>
    <row r="8" spans="1:6" ht="15.75" thickBot="1" x14ac:dyDescent="0.3">
      <c r="A8" s="10">
        <v>7</v>
      </c>
      <c r="B8" s="11" t="s">
        <v>38</v>
      </c>
      <c r="C8" s="11">
        <v>2</v>
      </c>
      <c r="D8" s="1">
        <v>380</v>
      </c>
      <c r="E8" s="25">
        <v>19</v>
      </c>
      <c r="F8">
        <f>SUM(D8 +E8)</f>
        <v>399</v>
      </c>
    </row>
    <row r="9" spans="1:6" ht="15.75" thickBot="1" x14ac:dyDescent="0.3">
      <c r="A9" s="10">
        <v>8</v>
      </c>
      <c r="B9" s="11" t="s">
        <v>10</v>
      </c>
      <c r="C9" s="11">
        <v>5</v>
      </c>
      <c r="D9" s="1">
        <v>950</v>
      </c>
      <c r="E9" s="25">
        <v>47.5</v>
      </c>
      <c r="F9">
        <f>SUM(D9 +E9)</f>
        <v>997.5</v>
      </c>
    </row>
    <row r="10" spans="1:6" ht="15.75" thickBot="1" x14ac:dyDescent="0.3">
      <c r="A10" s="10">
        <v>9</v>
      </c>
      <c r="B10" s="11" t="s">
        <v>8</v>
      </c>
      <c r="C10" s="11">
        <v>2</v>
      </c>
      <c r="D10" s="1">
        <v>380</v>
      </c>
      <c r="E10" s="25">
        <v>19</v>
      </c>
      <c r="F10">
        <f>SUM(D10 +E10)</f>
        <v>399</v>
      </c>
    </row>
    <row r="11" spans="1:6" ht="15.75" thickBot="1" x14ac:dyDescent="0.3">
      <c r="A11" s="10">
        <v>10</v>
      </c>
      <c r="B11" s="13" t="s">
        <v>26</v>
      </c>
      <c r="C11" s="11">
        <v>2</v>
      </c>
      <c r="D11" s="1">
        <v>380</v>
      </c>
      <c r="E11" s="25">
        <v>19</v>
      </c>
      <c r="F11">
        <f>SUM(D11 +E11)</f>
        <v>399</v>
      </c>
    </row>
    <row r="12" spans="1:6" ht="15.75" thickBot="1" x14ac:dyDescent="0.3">
      <c r="A12" s="10">
        <v>11</v>
      </c>
      <c r="B12" s="11" t="s">
        <v>15</v>
      </c>
      <c r="C12" s="11">
        <v>5</v>
      </c>
      <c r="D12" s="1">
        <v>340</v>
      </c>
      <c r="E12" s="25">
        <v>17</v>
      </c>
      <c r="F12">
        <f>SUM(D12 +E12)</f>
        <v>357</v>
      </c>
    </row>
    <row r="13" spans="1:6" ht="15.75" thickBot="1" x14ac:dyDescent="0.3">
      <c r="A13" s="10">
        <v>12</v>
      </c>
      <c r="B13" s="11" t="s">
        <v>16</v>
      </c>
      <c r="C13" s="11">
        <v>3</v>
      </c>
      <c r="D13" s="1">
        <v>465</v>
      </c>
      <c r="E13" s="25">
        <v>23.25</v>
      </c>
      <c r="F13">
        <f>SUM(D13 +E13)</f>
        <v>488.25</v>
      </c>
    </row>
    <row r="14" spans="1:6" ht="15.75" thickBot="1" x14ac:dyDescent="0.3">
      <c r="A14" s="10">
        <v>13</v>
      </c>
      <c r="B14" s="11" t="s">
        <v>39</v>
      </c>
      <c r="C14" s="11">
        <v>5</v>
      </c>
      <c r="D14" s="1">
        <v>375</v>
      </c>
      <c r="E14" s="25">
        <v>18.75</v>
      </c>
      <c r="F14">
        <f>SUM(D14 +E14)</f>
        <v>393.75</v>
      </c>
    </row>
    <row r="15" spans="1:6" ht="15.75" thickBot="1" x14ac:dyDescent="0.3">
      <c r="A15" s="10">
        <v>14</v>
      </c>
      <c r="B15" s="11" t="s">
        <v>21</v>
      </c>
      <c r="C15" s="11">
        <v>18</v>
      </c>
      <c r="D15" s="1">
        <v>175</v>
      </c>
      <c r="E15" s="25">
        <v>8.75</v>
      </c>
      <c r="F15">
        <f>SUM(D15 +E15)</f>
        <v>183.75</v>
      </c>
    </row>
    <row r="16" spans="1:6" ht="15.75" thickBot="1" x14ac:dyDescent="0.3">
      <c r="A16" s="10">
        <v>15</v>
      </c>
      <c r="B16" s="11" t="s">
        <v>40</v>
      </c>
      <c r="C16" s="11">
        <v>1</v>
      </c>
      <c r="D16" s="1">
        <v>400</v>
      </c>
      <c r="E16" s="25">
        <v>20</v>
      </c>
      <c r="F16">
        <f>SUM(D16 +E16)</f>
        <v>420</v>
      </c>
    </row>
    <row r="17" spans="1:6" ht="24.75" thickBot="1" x14ac:dyDescent="0.3">
      <c r="A17" s="10">
        <v>16</v>
      </c>
      <c r="B17" s="13" t="s">
        <v>23</v>
      </c>
      <c r="C17" s="11">
        <v>4</v>
      </c>
      <c r="D17" s="1">
        <v>800</v>
      </c>
      <c r="E17" s="25">
        <v>40</v>
      </c>
      <c r="F17">
        <f>SUM(D17 +E17)</f>
        <v>840</v>
      </c>
    </row>
    <row r="18" spans="1:6" ht="24.75" thickBot="1" x14ac:dyDescent="0.3">
      <c r="A18" s="10">
        <v>17</v>
      </c>
      <c r="B18" s="14" t="s">
        <v>24</v>
      </c>
      <c r="C18" s="11">
        <v>2</v>
      </c>
      <c r="D18" s="1">
        <v>600</v>
      </c>
      <c r="E18" s="25">
        <v>30</v>
      </c>
      <c r="F18">
        <f>SUM(D18 +E18)</f>
        <v>630</v>
      </c>
    </row>
    <row r="19" spans="1:6" ht="15.75" thickBot="1" x14ac:dyDescent="0.3">
      <c r="A19" s="10">
        <v>18</v>
      </c>
      <c r="B19" s="11" t="s">
        <v>41</v>
      </c>
      <c r="C19" s="11">
        <v>1</v>
      </c>
      <c r="D19" s="1">
        <v>1050</v>
      </c>
      <c r="E19" s="25">
        <v>52.5</v>
      </c>
      <c r="F19">
        <f>SUM(D19 +E19)</f>
        <v>1102.5</v>
      </c>
    </row>
    <row r="20" spans="1:6" ht="15.75" thickBot="1" x14ac:dyDescent="0.3">
      <c r="A20" s="10">
        <v>19</v>
      </c>
      <c r="B20" s="11" t="s">
        <v>18</v>
      </c>
      <c r="C20" s="11">
        <v>2</v>
      </c>
      <c r="D20" s="1">
        <v>600</v>
      </c>
      <c r="E20" s="25">
        <v>30</v>
      </c>
      <c r="F20">
        <f>SUM(D20 +E20)</f>
        <v>630</v>
      </c>
    </row>
    <row r="21" spans="1:6" ht="15.75" thickBot="1" x14ac:dyDescent="0.3">
      <c r="A21" s="10">
        <v>20</v>
      </c>
      <c r="B21" s="11" t="s">
        <v>19</v>
      </c>
      <c r="C21" s="11">
        <v>2</v>
      </c>
      <c r="D21" s="1">
        <v>3000</v>
      </c>
      <c r="E21" s="25">
        <v>150</v>
      </c>
      <c r="F21">
        <f>SUM(D21 +E21)</f>
        <v>3150</v>
      </c>
    </row>
    <row r="22" spans="1:6" ht="15.75" thickBot="1" x14ac:dyDescent="0.3">
      <c r="A22" s="10">
        <v>21</v>
      </c>
      <c r="B22" s="11" t="s">
        <v>42</v>
      </c>
      <c r="C22" s="11">
        <v>1</v>
      </c>
      <c r="D22" s="1">
        <v>3000</v>
      </c>
      <c r="E22" s="25">
        <v>150</v>
      </c>
      <c r="F22">
        <f>SUM(D22 +E22)</f>
        <v>3150</v>
      </c>
    </row>
    <row r="23" spans="1:6" ht="15.75" thickBot="1" x14ac:dyDescent="0.3">
      <c r="A23" s="10">
        <v>22</v>
      </c>
      <c r="B23" s="13" t="s">
        <v>25</v>
      </c>
      <c r="C23" s="11">
        <v>2</v>
      </c>
      <c r="D23" s="1">
        <v>2500</v>
      </c>
      <c r="E23" s="25">
        <v>125</v>
      </c>
      <c r="F23">
        <f>SUM(D23 +E23)</f>
        <v>2625</v>
      </c>
    </row>
    <row r="24" spans="1:6" x14ac:dyDescent="0.25">
      <c r="A24" s="19">
        <v>23</v>
      </c>
      <c r="B24" s="20" t="s">
        <v>45</v>
      </c>
      <c r="C24" s="19">
        <v>1</v>
      </c>
      <c r="D24" s="1">
        <v>190</v>
      </c>
      <c r="E24" s="25">
        <v>9.5</v>
      </c>
      <c r="F24">
        <f>SUM(D24 +E24)</f>
        <v>199.5</v>
      </c>
    </row>
    <row r="25" spans="1:6" x14ac:dyDescent="0.25">
      <c r="A25" s="19"/>
      <c r="B25" s="20"/>
      <c r="C25" s="19"/>
    </row>
    <row r="26" spans="1:6" x14ac:dyDescent="0.25">
      <c r="C26" t="s">
        <v>46</v>
      </c>
      <c r="D26" s="21">
        <f>SUM(D2:D24)</f>
        <v>19155</v>
      </c>
      <c r="E26" s="22"/>
      <c r="F26" s="22">
        <f>SUM(F2:F24)</f>
        <v>20112.75</v>
      </c>
    </row>
    <row r="27" spans="1:6" x14ac:dyDescent="0.25">
      <c r="C27" t="s">
        <v>48</v>
      </c>
      <c r="D27" s="1">
        <v>110</v>
      </c>
      <c r="E27" t="s">
        <v>48</v>
      </c>
      <c r="F27">
        <v>110</v>
      </c>
    </row>
    <row r="28" spans="1:6" x14ac:dyDescent="0.25">
      <c r="C28" s="24" t="s">
        <v>49</v>
      </c>
      <c r="D28" s="23">
        <f>SUM(D26:D27)</f>
        <v>19265</v>
      </c>
      <c r="F28">
        <f>SUM(F26:F27)</f>
        <v>20222.75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2025-09-19T05:21:03Z</dcterms:created>
  <dcterms:modified xsi:type="dcterms:W3CDTF">2025-09-23T11:52:09Z</dcterms:modified>
</cp:coreProperties>
</file>