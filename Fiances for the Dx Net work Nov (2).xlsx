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1" l="1"/>
  <c r="D59" i="1" l="1"/>
  <c r="E56" i="1"/>
  <c r="H62" i="1" l="1"/>
  <c r="E35" i="1" l="1"/>
  <c r="D35" i="1"/>
  <c r="K39" i="1" l="1"/>
  <c r="H44" i="1" l="1"/>
</calcChain>
</file>

<file path=xl/sharedStrings.xml><?xml version="1.0" encoding="utf-8"?>
<sst xmlns="http://schemas.openxmlformats.org/spreadsheetml/2006/main" count="94" uniqueCount="85">
  <si>
    <t>Date</t>
  </si>
  <si>
    <t xml:space="preserve">Name of the patiant </t>
  </si>
  <si>
    <t xml:space="preserve">Total Amount Paid </t>
  </si>
  <si>
    <t>Name of the Test</t>
  </si>
  <si>
    <t>Cash</t>
  </si>
  <si>
    <t>UTR or transation ID</t>
  </si>
  <si>
    <t xml:space="preserve">Online </t>
  </si>
  <si>
    <t xml:space="preserve">Detalis of Expenses </t>
  </si>
  <si>
    <t>Salaries/Expense</t>
  </si>
  <si>
    <t>Referal by the who</t>
  </si>
  <si>
    <t xml:space="preserve">Amount Of the Referal </t>
  </si>
  <si>
    <t>G.Pradeep</t>
  </si>
  <si>
    <t>Dr. M. Kishore babu</t>
  </si>
  <si>
    <t xml:space="preserve">Total Salaries </t>
  </si>
  <si>
    <t>Heamogram, RBS, AEC</t>
  </si>
  <si>
    <t xml:space="preserve">D. Prasanna Kumar </t>
  </si>
  <si>
    <t xml:space="preserve">Office </t>
  </si>
  <si>
    <t>Total Revenu</t>
  </si>
  <si>
    <t xml:space="preserve">office expicences </t>
  </si>
  <si>
    <t>Sk. Abdullah</t>
  </si>
  <si>
    <t>V. Sravanthi</t>
  </si>
  <si>
    <t>Heamogram, RBS, AEC, CUE</t>
  </si>
  <si>
    <t>Sk. Siraj</t>
  </si>
  <si>
    <t>hemogram, RBS, AEC</t>
  </si>
  <si>
    <t xml:space="preserve">P. Hispbarani </t>
  </si>
  <si>
    <t>A. Sudha Rani</t>
  </si>
  <si>
    <t>Hemogram, RBS, AEC, Sirum bilurubine</t>
  </si>
  <si>
    <t>S. Murali</t>
  </si>
  <si>
    <t>S. David</t>
  </si>
  <si>
    <t xml:space="preserve">Paid to other Labs </t>
  </si>
  <si>
    <t xml:space="preserve">sales </t>
  </si>
  <si>
    <t>Hemogram, RBS</t>
  </si>
  <si>
    <t xml:space="preserve">Heamogram, Serum criatene, cholesterol, Hb1c, Thyroid </t>
  </si>
  <si>
    <t>TFT, CBP, Viral Markers, RBS, Serum Creatinine, Cholesterol</t>
  </si>
  <si>
    <t>CH. Sivani</t>
  </si>
  <si>
    <t xml:space="preserve">K. Rani </t>
  </si>
  <si>
    <t>CBP, RBS, Serium Bilurunine, CEU</t>
  </si>
  <si>
    <t>M. Lakshmi</t>
  </si>
  <si>
    <t>CBP,AEC, RBS, CUE</t>
  </si>
  <si>
    <t xml:space="preserve">SK. Fathimaam </t>
  </si>
  <si>
    <t>Heamogram, RBS, AEC, serium Billurubine, CUE</t>
  </si>
  <si>
    <t xml:space="preserve">Camp Basic tests </t>
  </si>
  <si>
    <t xml:space="preserve">M. Venkateswar rao </t>
  </si>
  <si>
    <t>RFT</t>
  </si>
  <si>
    <t>Camp</t>
  </si>
  <si>
    <t>K. Sai</t>
  </si>
  <si>
    <t>CBP, RBS,serium Billurubine, CUE</t>
  </si>
  <si>
    <t xml:space="preserve">Vera shenkar </t>
  </si>
  <si>
    <t>CBP, Marleria, VDRL</t>
  </si>
  <si>
    <t>SK. Nagaru bi</t>
  </si>
  <si>
    <t>CBP,RBS, AEC, CUE</t>
  </si>
  <si>
    <t xml:space="preserve">Phamaphlates printing </t>
  </si>
  <si>
    <t xml:space="preserve">P. Pravathi Devi </t>
  </si>
  <si>
    <t xml:space="preserve">CBP, RFT, CRP, CUE, Urine exmination, RBS </t>
  </si>
  <si>
    <t>Primaria staff Member 1800 offer price</t>
  </si>
  <si>
    <t>Primaria staff Member 650 offer price</t>
  </si>
  <si>
    <t xml:space="preserve">syed khaza sharif </t>
  </si>
  <si>
    <t>CBP, AEC, RBS, CUE</t>
  </si>
  <si>
    <t>E. Ashok Reddy</t>
  </si>
  <si>
    <t>CBP, AEC, RBS, BGT, CUE</t>
  </si>
  <si>
    <t>Sk. Ayesh</t>
  </si>
  <si>
    <t xml:space="preserve">M. Mounika </t>
  </si>
  <si>
    <t xml:space="preserve">CBP, Thyroid, Beta HCG </t>
  </si>
  <si>
    <t>Sk shaniya</t>
  </si>
  <si>
    <t>CBP, RBS, ACE, CUE</t>
  </si>
  <si>
    <t>GV padamaja Rani</t>
  </si>
  <si>
    <t>T. Kirithi</t>
  </si>
  <si>
    <t xml:space="preserve">CBP, AEC, LFT, </t>
  </si>
  <si>
    <t>M. Anitha</t>
  </si>
  <si>
    <t xml:space="preserve">M.. Krishna Kumar </t>
  </si>
  <si>
    <t>Grouping</t>
  </si>
  <si>
    <t>HB1c</t>
  </si>
  <si>
    <t>Camp at ICON frouten tower</t>
  </si>
  <si>
    <t xml:space="preserve">Syad jareena </t>
  </si>
  <si>
    <t>D.Kumari</t>
  </si>
  <si>
    <t xml:space="preserve">Muvva China  Bapi Reddy Memorial trust </t>
  </si>
  <si>
    <t xml:space="preserve">centerifuse tubes </t>
  </si>
  <si>
    <t xml:space="preserve">Lab to Lab </t>
  </si>
  <si>
    <t>lab diluent</t>
  </si>
  <si>
    <t>K. Prasanna Kumari</t>
  </si>
  <si>
    <t>FBS, Throid</t>
  </si>
  <si>
    <t>Lakshmi Triveeni</t>
  </si>
  <si>
    <t>Thyoid, CBP, Cholestorl, serum creatine (Sugar Pack)</t>
  </si>
  <si>
    <t>nisitha kumari</t>
  </si>
  <si>
    <t xml:space="preserve">net revenu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</si>
</sst>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Albertus M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 applyAlignment="1"/>
    <xf numFmtId="164" fontId="2" fillId="0" borderId="0" xfId="0" applyNumberFormat="1" applyFont="1"/>
    <xf numFmtId="164" fontId="2" fillId="0" borderId="0" xfId="1" applyNumberFormat="1" applyFont="1"/>
    <xf numFmtId="164" fontId="0" fillId="0" borderId="0" xfId="0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4" fontId="0" fillId="0" borderId="0" xfId="0" applyNumberFormat="1"/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2" applyNumberFormat="1" applyFont="1"/>
    <xf numFmtId="164" fontId="2" fillId="2" borderId="0" xfId="0" applyNumberFormat="1" applyFont="1" applyFill="1"/>
    <xf numFmtId="14" fontId="2" fillId="3" borderId="0" xfId="0" applyNumberFormat="1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/>
    <xf numFmtId="164" fontId="2" fillId="2" borderId="0" xfId="0" applyNumberFormat="1" applyFont="1" applyFill="1" applyAlignment="1">
      <alignment horizontal="center"/>
    </xf>
    <xf numFmtId="0" fontId="0" fillId="2" borderId="0" xfId="0" applyFill="1"/>
    <xf numFmtId="0" fontId="0" fillId="0" borderId="0" xfId="0" applyFill="1"/>
    <xf numFmtId="0" fontId="2" fillId="0" borderId="0" xfId="0" applyFont="1" applyFill="1" applyAlignment="1"/>
    <xf numFmtId="0" fontId="2" fillId="0" borderId="0" xfId="0" applyFont="1" applyFill="1"/>
    <xf numFmtId="164" fontId="0" fillId="0" borderId="0" xfId="0" applyNumberFormat="1" applyFill="1"/>
    <xf numFmtId="164" fontId="2" fillId="0" borderId="0" xfId="0" applyNumberFormat="1" applyFont="1" applyFill="1"/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left"/>
    </xf>
    <xf numFmtId="2" fontId="0" fillId="0" borderId="0" xfId="0" applyNumberForma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0" fillId="0" borderId="0" xfId="2" applyNumberFormat="1" applyFont="1" applyFill="1" applyAlignment="1"/>
    <xf numFmtId="164" fontId="0" fillId="0" borderId="0" xfId="0" applyNumberFormat="1" applyFill="1" applyAlignment="1"/>
    <xf numFmtId="0" fontId="0" fillId="0" borderId="0" xfId="0" applyFont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 applyAlignment="1">
      <alignment horizontal="center"/>
    </xf>
    <xf numFmtId="164" fontId="2" fillId="0" borderId="0" xfId="2" applyNumberFormat="1" applyFont="1" applyFill="1" applyAlignment="1">
      <alignment horizontal="center"/>
    </xf>
    <xf numFmtId="14" fontId="0" fillId="0" borderId="0" xfId="0" applyNumberForma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0" fillId="2" borderId="0" xfId="0" applyNumberFormat="1" applyFill="1" applyAlignment="1">
      <alignment horizontal="left"/>
    </xf>
    <xf numFmtId="164" fontId="4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2"/>
  <sheetViews>
    <sheetView tabSelected="1" topLeftCell="A16" zoomScale="42" zoomScaleNormal="70" workbookViewId="0">
      <selection activeCell="H52" sqref="H52"/>
    </sheetView>
  </sheetViews>
  <sheetFormatPr defaultRowHeight="14.5" x14ac:dyDescent="0.35"/>
  <cols>
    <col min="1" max="1" width="24.26953125" customWidth="1"/>
    <col min="2" max="2" width="46.81640625" customWidth="1"/>
    <col min="3" max="3" width="59.453125" customWidth="1"/>
    <col min="4" max="4" width="33.7265625" customWidth="1"/>
    <col min="5" max="5" width="18" customWidth="1"/>
    <col min="6" max="6" width="16.1796875" customWidth="1"/>
    <col min="7" max="7" width="29.36328125" customWidth="1"/>
    <col min="8" max="8" width="27" customWidth="1"/>
    <col min="9" max="9" width="26.26953125" customWidth="1"/>
    <col min="10" max="10" width="28.81640625" customWidth="1"/>
    <col min="11" max="11" width="32.54296875" customWidth="1"/>
    <col min="12" max="12" width="33.453125" customWidth="1"/>
    <col min="13" max="13" width="27.54296875" customWidth="1"/>
  </cols>
  <sheetData>
    <row r="1" spans="1:34" s="5" customFormat="1" x14ac:dyDescent="0.35">
      <c r="A1" s="4" t="s">
        <v>0</v>
      </c>
      <c r="B1" s="4" t="s">
        <v>1</v>
      </c>
      <c r="C1" s="4" t="s">
        <v>3</v>
      </c>
      <c r="D1" s="4" t="s">
        <v>2</v>
      </c>
      <c r="E1" s="4" t="s">
        <v>4</v>
      </c>
      <c r="F1" s="4" t="s">
        <v>6</v>
      </c>
      <c r="G1" s="4" t="s">
        <v>5</v>
      </c>
      <c r="H1" s="4" t="s">
        <v>8</v>
      </c>
      <c r="I1" s="5" t="s">
        <v>7</v>
      </c>
      <c r="J1" s="5" t="s">
        <v>9</v>
      </c>
      <c r="K1" s="5" t="s">
        <v>10</v>
      </c>
      <c r="L1" s="5" t="s">
        <v>29</v>
      </c>
      <c r="M1" s="4" t="s">
        <v>30</v>
      </c>
    </row>
    <row r="2" spans="1:34" x14ac:dyDescent="0.35">
      <c r="A2" s="3">
        <v>45962</v>
      </c>
      <c r="B2" s="1" t="s">
        <v>19</v>
      </c>
      <c r="C2" s="1" t="s">
        <v>14</v>
      </c>
      <c r="D2" s="6">
        <v>700</v>
      </c>
      <c r="E2" s="6">
        <v>700</v>
      </c>
      <c r="F2" s="1"/>
      <c r="G2" s="2"/>
      <c r="H2" s="6"/>
      <c r="I2" s="7"/>
      <c r="J2" s="6"/>
      <c r="M2" s="53">
        <v>-3300</v>
      </c>
    </row>
    <row r="3" spans="1:34" x14ac:dyDescent="0.35">
      <c r="A3" s="3">
        <v>45962</v>
      </c>
      <c r="B3" s="1" t="s">
        <v>20</v>
      </c>
      <c r="C3" s="1" t="s">
        <v>21</v>
      </c>
      <c r="D3" s="6">
        <v>800</v>
      </c>
      <c r="E3" s="6">
        <v>800</v>
      </c>
      <c r="F3" s="1"/>
      <c r="G3" s="2"/>
      <c r="J3" s="6"/>
      <c r="K3" s="33"/>
    </row>
    <row r="4" spans="1:34" x14ac:dyDescent="0.35">
      <c r="A4" s="3">
        <v>45964</v>
      </c>
      <c r="B4" s="1" t="s">
        <v>22</v>
      </c>
      <c r="C4" s="1" t="s">
        <v>23</v>
      </c>
      <c r="D4" s="6">
        <v>700</v>
      </c>
      <c r="E4" s="11">
        <v>700</v>
      </c>
      <c r="F4" s="12"/>
      <c r="G4" s="2"/>
      <c r="J4" s="6"/>
      <c r="K4" s="31"/>
    </row>
    <row r="5" spans="1:34" x14ac:dyDescent="0.35">
      <c r="A5" s="3">
        <v>45965</v>
      </c>
      <c r="B5" s="1" t="s">
        <v>24</v>
      </c>
      <c r="C5" s="1" t="s">
        <v>26</v>
      </c>
      <c r="D5" s="31">
        <v>800</v>
      </c>
      <c r="E5" s="11">
        <v>800</v>
      </c>
      <c r="F5" s="32"/>
      <c r="G5" s="2"/>
      <c r="J5" s="31"/>
      <c r="K5" s="31"/>
    </row>
    <row r="6" spans="1:34" s="23" customFormat="1" x14ac:dyDescent="0.35">
      <c r="A6" s="34">
        <v>45965</v>
      </c>
      <c r="B6" s="35" t="s">
        <v>25</v>
      </c>
      <c r="C6" s="1" t="s">
        <v>26</v>
      </c>
      <c r="D6" s="36">
        <v>800</v>
      </c>
      <c r="E6" s="37">
        <v>800</v>
      </c>
      <c r="F6" s="42"/>
      <c r="G6" s="42"/>
      <c r="H6" s="42"/>
      <c r="I6" s="42"/>
      <c r="J6" s="43"/>
      <c r="K6" s="43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 s="23" customFormat="1" x14ac:dyDescent="0.35">
      <c r="A7" s="34">
        <v>45965</v>
      </c>
      <c r="B7" s="35" t="s">
        <v>27</v>
      </c>
      <c r="C7" s="35" t="s">
        <v>31</v>
      </c>
      <c r="D7" s="36">
        <v>500</v>
      </c>
      <c r="E7" s="37">
        <v>500</v>
      </c>
      <c r="F7" s="42"/>
      <c r="G7" s="42"/>
      <c r="H7" s="42"/>
      <c r="I7" s="42"/>
      <c r="J7" s="43"/>
      <c r="K7" s="43"/>
      <c r="L7" s="40">
        <v>-250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 x14ac:dyDescent="0.35">
      <c r="A8" s="34">
        <v>45965</v>
      </c>
      <c r="B8" s="35" t="s">
        <v>28</v>
      </c>
      <c r="C8" s="35" t="s">
        <v>32</v>
      </c>
      <c r="D8" s="36">
        <v>900</v>
      </c>
      <c r="E8" s="37">
        <v>900</v>
      </c>
      <c r="F8" s="38"/>
      <c r="G8" s="39"/>
      <c r="H8" s="33"/>
      <c r="I8" s="24"/>
      <c r="J8" s="36"/>
      <c r="K8" s="33"/>
      <c r="L8" s="40">
        <v>-500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x14ac:dyDescent="0.35">
      <c r="A9" s="34">
        <v>45966</v>
      </c>
      <c r="B9" s="35" t="s">
        <v>61</v>
      </c>
      <c r="C9" s="35" t="s">
        <v>62</v>
      </c>
      <c r="D9" s="36">
        <v>900</v>
      </c>
      <c r="E9" s="37">
        <v>900</v>
      </c>
      <c r="F9" s="38"/>
      <c r="G9" s="39"/>
      <c r="H9" s="33"/>
      <c r="I9" s="24"/>
      <c r="J9" s="36"/>
      <c r="K9" s="33"/>
      <c r="L9" s="40">
        <v>600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x14ac:dyDescent="0.35">
      <c r="A10" s="34">
        <v>45966</v>
      </c>
      <c r="B10" s="35" t="s">
        <v>34</v>
      </c>
      <c r="C10" s="44" t="s">
        <v>33</v>
      </c>
      <c r="D10" s="36">
        <v>2800</v>
      </c>
      <c r="E10" s="37">
        <v>900</v>
      </c>
      <c r="F10" s="63" t="s">
        <v>54</v>
      </c>
      <c r="G10" s="63"/>
      <c r="H10" s="63"/>
      <c r="I10" s="63"/>
      <c r="J10" s="63"/>
      <c r="K10" s="63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 s="23" customFormat="1" x14ac:dyDescent="0.35">
      <c r="A11" s="45">
        <v>45968</v>
      </c>
      <c r="B11" s="46" t="s">
        <v>35</v>
      </c>
      <c r="C11" s="46" t="s">
        <v>36</v>
      </c>
      <c r="D11" s="47">
        <v>700</v>
      </c>
      <c r="E11" s="48">
        <v>700</v>
      </c>
      <c r="G11" s="64" t="s">
        <v>41</v>
      </c>
      <c r="H11" s="64"/>
      <c r="I11" s="64"/>
      <c r="J11" s="64"/>
      <c r="K11" s="64"/>
      <c r="L11" s="64"/>
    </row>
    <row r="12" spans="1:34" s="23" customFormat="1" x14ac:dyDescent="0.35">
      <c r="A12" s="45">
        <v>45968</v>
      </c>
      <c r="B12" s="46" t="s">
        <v>37</v>
      </c>
      <c r="C12" s="46" t="s">
        <v>38</v>
      </c>
      <c r="D12" s="47">
        <v>700</v>
      </c>
      <c r="E12" s="47">
        <v>700</v>
      </c>
      <c r="G12" s="64"/>
      <c r="H12" s="64"/>
      <c r="I12" s="64"/>
      <c r="J12" s="64"/>
      <c r="K12" s="64"/>
      <c r="L12" s="64"/>
    </row>
    <row r="13" spans="1:34" s="23" customFormat="1" x14ac:dyDescent="0.35">
      <c r="A13" s="45">
        <v>45970</v>
      </c>
      <c r="B13" s="46" t="s">
        <v>42</v>
      </c>
      <c r="C13" s="23" t="s">
        <v>43</v>
      </c>
      <c r="D13" s="47">
        <v>700</v>
      </c>
      <c r="E13" s="47">
        <v>400</v>
      </c>
      <c r="F13" s="64" t="s">
        <v>44</v>
      </c>
      <c r="G13" s="64"/>
      <c r="H13" s="64"/>
      <c r="I13" s="64"/>
      <c r="J13" s="64"/>
      <c r="K13" s="64"/>
      <c r="L13" s="22">
        <v>-300</v>
      </c>
    </row>
    <row r="14" spans="1:34" x14ac:dyDescent="0.35">
      <c r="A14" s="34">
        <v>45971</v>
      </c>
      <c r="B14" s="35" t="s">
        <v>39</v>
      </c>
      <c r="C14" s="1" t="s">
        <v>40</v>
      </c>
      <c r="D14" s="36">
        <v>1000</v>
      </c>
      <c r="E14" s="36">
        <v>1000</v>
      </c>
      <c r="F14" s="24"/>
      <c r="G14" s="24"/>
      <c r="H14" s="24"/>
      <c r="I14" s="24"/>
      <c r="J14" s="24"/>
      <c r="K14" s="40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x14ac:dyDescent="0.35">
      <c r="A15" s="34">
        <v>45973</v>
      </c>
      <c r="B15" s="35" t="s">
        <v>45</v>
      </c>
      <c r="C15" s="35" t="s">
        <v>46</v>
      </c>
      <c r="D15" s="41">
        <v>650</v>
      </c>
      <c r="E15" s="36">
        <v>650</v>
      </c>
      <c r="F15" s="36"/>
      <c r="G15" s="27"/>
      <c r="H15" s="27"/>
      <c r="I15" s="24"/>
      <c r="J15" s="24"/>
      <c r="K15" s="40"/>
      <c r="L15" s="51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x14ac:dyDescent="0.35">
      <c r="A16" s="34">
        <v>45974</v>
      </c>
      <c r="B16" s="35" t="s">
        <v>52</v>
      </c>
      <c r="C16" s="35" t="s">
        <v>53</v>
      </c>
      <c r="D16" s="41">
        <v>1450</v>
      </c>
      <c r="E16" s="36">
        <v>1450</v>
      </c>
      <c r="F16" s="36"/>
      <c r="G16" s="27"/>
      <c r="H16" s="27"/>
      <c r="I16" s="24"/>
      <c r="J16" s="24"/>
      <c r="K16" s="40"/>
      <c r="L16" s="49">
        <v>-750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s="23" customFormat="1" x14ac:dyDescent="0.35">
      <c r="A17" s="34">
        <v>45974</v>
      </c>
      <c r="B17" s="35" t="s">
        <v>47</v>
      </c>
      <c r="C17" s="35" t="s">
        <v>48</v>
      </c>
      <c r="D17" s="41">
        <v>1100</v>
      </c>
      <c r="E17" s="41">
        <v>450</v>
      </c>
      <c r="F17" s="63" t="s">
        <v>55</v>
      </c>
      <c r="G17" s="63"/>
      <c r="H17" s="63"/>
      <c r="I17" s="63"/>
      <c r="J17" s="63"/>
      <c r="K17" s="63"/>
      <c r="L17" s="51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s="23" customFormat="1" x14ac:dyDescent="0.35">
      <c r="A18" s="34">
        <v>45976</v>
      </c>
      <c r="B18" s="35" t="s">
        <v>49</v>
      </c>
      <c r="C18" s="35" t="s">
        <v>50</v>
      </c>
      <c r="D18" s="41">
        <v>700</v>
      </c>
      <c r="E18" s="41">
        <v>700</v>
      </c>
      <c r="F18" s="25"/>
      <c r="G18" s="25"/>
      <c r="H18" s="24"/>
      <c r="I18" s="24"/>
      <c r="J18" s="24"/>
      <c r="K18" s="33"/>
      <c r="L18" s="51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s="23" customFormat="1" x14ac:dyDescent="0.35">
      <c r="A19" s="34">
        <v>45979</v>
      </c>
      <c r="B19" s="35" t="s">
        <v>56</v>
      </c>
      <c r="C19" s="35" t="s">
        <v>57</v>
      </c>
      <c r="D19" s="41">
        <v>700</v>
      </c>
      <c r="E19" s="41">
        <v>700</v>
      </c>
      <c r="F19" s="25"/>
      <c r="G19" s="25"/>
      <c r="H19" s="24"/>
      <c r="I19" s="24"/>
      <c r="J19" s="24"/>
      <c r="K19" s="33"/>
      <c r="L19" s="51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x14ac:dyDescent="0.35">
      <c r="A20" s="34">
        <v>45979</v>
      </c>
      <c r="B20" s="35" t="s">
        <v>58</v>
      </c>
      <c r="C20" s="35" t="s">
        <v>59</v>
      </c>
      <c r="D20" s="41">
        <v>1100</v>
      </c>
      <c r="E20" s="41">
        <v>1100</v>
      </c>
      <c r="F20" s="25"/>
      <c r="G20" s="25"/>
      <c r="H20" s="24"/>
      <c r="I20" s="24"/>
      <c r="J20" s="24"/>
      <c r="K20" s="33"/>
      <c r="L20" s="52"/>
    </row>
    <row r="21" spans="1:34" x14ac:dyDescent="0.35">
      <c r="A21" s="34">
        <v>45980</v>
      </c>
      <c r="B21" s="35" t="s">
        <v>66</v>
      </c>
      <c r="C21" s="35" t="s">
        <v>67</v>
      </c>
      <c r="D21" s="41">
        <v>1000</v>
      </c>
      <c r="E21" s="41">
        <v>1000</v>
      </c>
      <c r="F21" s="25"/>
      <c r="G21" s="25"/>
      <c r="H21" s="24"/>
      <c r="I21" s="24"/>
      <c r="J21" s="24"/>
      <c r="K21" s="33"/>
      <c r="L21" s="53">
        <v>-500</v>
      </c>
    </row>
    <row r="22" spans="1:34" x14ac:dyDescent="0.35">
      <c r="A22" s="3">
        <v>45980</v>
      </c>
      <c r="B22" s="50" t="s">
        <v>60</v>
      </c>
      <c r="C22" s="35" t="s">
        <v>57</v>
      </c>
      <c r="D22" s="41">
        <v>800</v>
      </c>
      <c r="E22" s="41">
        <v>800</v>
      </c>
      <c r="F22" s="25"/>
      <c r="G22" s="25"/>
      <c r="H22" s="24"/>
      <c r="I22" s="24"/>
      <c r="J22" s="24"/>
      <c r="K22" s="33"/>
      <c r="L22" s="52"/>
    </row>
    <row r="23" spans="1:34" x14ac:dyDescent="0.35">
      <c r="A23" s="3">
        <v>45985</v>
      </c>
      <c r="B23" s="50" t="s">
        <v>63</v>
      </c>
      <c r="C23" s="35" t="s">
        <v>64</v>
      </c>
      <c r="D23" s="41">
        <v>800</v>
      </c>
      <c r="E23" s="41">
        <v>800</v>
      </c>
      <c r="F23" s="25"/>
      <c r="G23" s="25"/>
      <c r="H23" s="24"/>
      <c r="I23" s="24"/>
      <c r="J23" s="24"/>
      <c r="K23" s="33"/>
      <c r="L23" s="52"/>
    </row>
    <row r="24" spans="1:34" x14ac:dyDescent="0.35">
      <c r="A24" s="45">
        <v>45985</v>
      </c>
      <c r="B24" s="54" t="s">
        <v>66</v>
      </c>
      <c r="C24" s="46" t="s">
        <v>71</v>
      </c>
      <c r="D24" s="55">
        <v>400</v>
      </c>
      <c r="E24" s="55">
        <v>400</v>
      </c>
      <c r="F24" s="62" t="s">
        <v>72</v>
      </c>
      <c r="G24" s="62"/>
      <c r="H24" s="62"/>
      <c r="I24" s="62"/>
      <c r="J24" s="62"/>
      <c r="K24" s="62"/>
      <c r="L24" s="22">
        <v>-200</v>
      </c>
    </row>
    <row r="25" spans="1:34" x14ac:dyDescent="0.35">
      <c r="A25" s="45">
        <v>45985</v>
      </c>
      <c r="B25" s="54" t="s">
        <v>68</v>
      </c>
      <c r="C25" s="46" t="s">
        <v>71</v>
      </c>
      <c r="D25" s="55">
        <v>400</v>
      </c>
      <c r="E25" s="55">
        <v>400</v>
      </c>
      <c r="F25" s="62"/>
      <c r="G25" s="62"/>
      <c r="H25" s="62"/>
      <c r="I25" s="62"/>
      <c r="J25" s="62"/>
      <c r="K25" s="62"/>
      <c r="L25" s="22">
        <v>-200</v>
      </c>
    </row>
    <row r="26" spans="1:34" x14ac:dyDescent="0.35">
      <c r="A26" s="45">
        <v>45985</v>
      </c>
      <c r="B26" s="54" t="s">
        <v>69</v>
      </c>
      <c r="C26" s="46" t="s">
        <v>70</v>
      </c>
      <c r="D26" s="55">
        <v>100</v>
      </c>
      <c r="E26" s="55">
        <v>100</v>
      </c>
      <c r="F26" s="62"/>
      <c r="G26" s="62"/>
      <c r="H26" s="62"/>
      <c r="I26" s="62"/>
      <c r="J26" s="62"/>
      <c r="K26" s="62"/>
      <c r="L26" s="56"/>
    </row>
    <row r="27" spans="1:34" x14ac:dyDescent="0.35">
      <c r="A27" s="3">
        <v>45986</v>
      </c>
      <c r="B27" s="50" t="s">
        <v>65</v>
      </c>
      <c r="C27" s="35" t="s">
        <v>64</v>
      </c>
      <c r="D27" s="41">
        <v>700</v>
      </c>
      <c r="E27" s="41">
        <v>700</v>
      </c>
      <c r="F27" s="25"/>
      <c r="G27" s="25"/>
      <c r="H27" s="24"/>
      <c r="I27" s="24"/>
      <c r="J27" s="24"/>
      <c r="K27" s="33"/>
    </row>
    <row r="28" spans="1:34" s="23" customFormat="1" x14ac:dyDescent="0.35">
      <c r="A28" s="45">
        <v>45988</v>
      </c>
      <c r="B28" s="54" t="s">
        <v>75</v>
      </c>
      <c r="C28" s="46"/>
      <c r="D28" s="55">
        <v>5550</v>
      </c>
      <c r="E28" s="55">
        <v>0</v>
      </c>
      <c r="F28" s="60"/>
      <c r="G28" s="60"/>
      <c r="K28" s="58"/>
      <c r="L28" s="22">
        <v>-1350</v>
      </c>
    </row>
    <row r="29" spans="1:34" x14ac:dyDescent="0.35">
      <c r="A29" s="3">
        <v>45988</v>
      </c>
      <c r="B29" s="50" t="s">
        <v>73</v>
      </c>
      <c r="C29" s="35" t="s">
        <v>64</v>
      </c>
      <c r="D29" s="41">
        <v>800</v>
      </c>
      <c r="E29" s="41">
        <v>800</v>
      </c>
      <c r="F29" s="25"/>
      <c r="G29" s="25"/>
      <c r="H29" s="24"/>
      <c r="I29" s="24"/>
      <c r="J29" s="24"/>
      <c r="K29" s="33"/>
    </row>
    <row r="30" spans="1:34" x14ac:dyDescent="0.35">
      <c r="A30" s="3">
        <v>45989</v>
      </c>
      <c r="B30" s="50" t="s">
        <v>74</v>
      </c>
      <c r="C30" s="35" t="s">
        <v>64</v>
      </c>
      <c r="D30" s="41">
        <v>800</v>
      </c>
      <c r="E30" s="41">
        <v>800</v>
      </c>
      <c r="F30" s="25"/>
      <c r="G30" s="25"/>
      <c r="H30" s="24"/>
      <c r="I30" s="24"/>
      <c r="J30" s="24"/>
      <c r="K30" s="33"/>
    </row>
    <row r="31" spans="1:34" x14ac:dyDescent="0.35">
      <c r="A31" s="45">
        <v>45991</v>
      </c>
      <c r="B31" s="54" t="s">
        <v>79</v>
      </c>
      <c r="C31" s="46" t="s">
        <v>80</v>
      </c>
      <c r="D31" s="55">
        <v>400</v>
      </c>
      <c r="E31" s="55">
        <v>400</v>
      </c>
      <c r="F31" s="60"/>
      <c r="G31" s="60"/>
      <c r="H31" s="23"/>
      <c r="I31" s="23"/>
      <c r="J31" s="23"/>
      <c r="K31" s="59"/>
      <c r="L31" s="62">
        <v>-450</v>
      </c>
    </row>
    <row r="32" spans="1:34" x14ac:dyDescent="0.35">
      <c r="A32" s="45">
        <v>45991</v>
      </c>
      <c r="B32" s="54" t="s">
        <v>81</v>
      </c>
      <c r="C32" s="46" t="s">
        <v>82</v>
      </c>
      <c r="D32" s="55">
        <v>500</v>
      </c>
      <c r="E32" s="55">
        <v>500</v>
      </c>
      <c r="F32" s="60"/>
      <c r="G32" s="60"/>
      <c r="H32" s="23"/>
      <c r="I32" s="23"/>
      <c r="J32" s="23"/>
      <c r="K32" s="59"/>
      <c r="L32" s="62"/>
    </row>
    <row r="33" spans="1:12" x14ac:dyDescent="0.35">
      <c r="A33" s="45">
        <v>45991</v>
      </c>
      <c r="B33" s="54" t="s">
        <v>83</v>
      </c>
      <c r="C33" s="46" t="s">
        <v>82</v>
      </c>
      <c r="D33" s="55">
        <v>500</v>
      </c>
      <c r="E33" s="55">
        <v>500</v>
      </c>
      <c r="F33" s="60"/>
      <c r="G33" s="60"/>
      <c r="H33" s="23"/>
      <c r="I33" s="23"/>
      <c r="J33" s="23"/>
      <c r="K33" s="59"/>
      <c r="L33" s="62"/>
    </row>
    <row r="34" spans="1:12" x14ac:dyDescent="0.35">
      <c r="A34" s="34"/>
      <c r="B34" s="35"/>
      <c r="C34" s="35"/>
      <c r="D34" s="41"/>
      <c r="E34" s="41"/>
      <c r="F34" s="25"/>
      <c r="G34" s="25"/>
      <c r="H34" s="24"/>
      <c r="I34" s="24"/>
      <c r="J34" s="24"/>
      <c r="K34" s="33"/>
    </row>
    <row r="35" spans="1:12" x14ac:dyDescent="0.35">
      <c r="A35" s="34"/>
      <c r="B35" s="35"/>
      <c r="C35" s="35"/>
      <c r="D35" s="41">
        <f>SUM(D2:D34)</f>
        <v>30450</v>
      </c>
      <c r="E35" s="41">
        <f>SUM(E2:E34)</f>
        <v>22050</v>
      </c>
      <c r="F35" s="25"/>
      <c r="G35" s="25"/>
      <c r="H35" s="24"/>
      <c r="I35" s="24"/>
      <c r="J35" s="24"/>
      <c r="K35" s="33"/>
    </row>
    <row r="36" spans="1:12" x14ac:dyDescent="0.35">
      <c r="A36" s="34"/>
      <c r="B36" s="35"/>
      <c r="C36" s="35"/>
      <c r="D36" s="41"/>
      <c r="E36" s="41"/>
      <c r="F36" s="25"/>
      <c r="G36" s="25"/>
      <c r="H36" s="24"/>
      <c r="I36" s="24"/>
      <c r="J36" s="24"/>
      <c r="K36" s="33"/>
    </row>
    <row r="37" spans="1:12" x14ac:dyDescent="0.35">
      <c r="A37" s="3"/>
      <c r="B37" s="1"/>
      <c r="C37" s="1"/>
      <c r="D37" s="14"/>
      <c r="E37" s="14"/>
      <c r="F37" s="8"/>
      <c r="G37" s="8"/>
    </row>
    <row r="38" spans="1:12" x14ac:dyDescent="0.35">
      <c r="A38" s="3"/>
      <c r="B38" s="1"/>
      <c r="C38" s="1"/>
      <c r="D38" s="6"/>
      <c r="E38" s="6"/>
      <c r="F38" s="8"/>
      <c r="G38" s="8"/>
    </row>
    <row r="39" spans="1:12" s="20" customFormat="1" x14ac:dyDescent="0.35">
      <c r="A39" s="19"/>
      <c r="D39" s="18"/>
      <c r="E39" s="18"/>
      <c r="F39" s="21"/>
      <c r="K39" s="22">
        <f>SUM(K3:K36)</f>
        <v>0</v>
      </c>
    </row>
    <row r="40" spans="1:12" x14ac:dyDescent="0.35">
      <c r="B40" s="15" t="s">
        <v>15</v>
      </c>
    </row>
    <row r="41" spans="1:12" x14ac:dyDescent="0.35">
      <c r="B41" s="15" t="s">
        <v>11</v>
      </c>
      <c r="C41" s="16"/>
      <c r="D41" s="16"/>
      <c r="E41" s="16"/>
      <c r="H41" s="9">
        <v>15000</v>
      </c>
    </row>
    <row r="42" spans="1:12" x14ac:dyDescent="0.35">
      <c r="B42" s="15" t="s">
        <v>12</v>
      </c>
      <c r="C42" s="16"/>
      <c r="D42" s="16"/>
      <c r="E42" s="16"/>
      <c r="F42" s="16"/>
      <c r="G42" s="16"/>
      <c r="H42" s="17">
        <v>15000</v>
      </c>
    </row>
    <row r="43" spans="1:12" x14ac:dyDescent="0.35">
      <c r="B43" s="16"/>
      <c r="C43" s="16"/>
      <c r="D43" s="16"/>
      <c r="E43" s="16"/>
      <c r="F43" s="16"/>
      <c r="G43" s="16"/>
      <c r="H43" s="9">
        <v>25000</v>
      </c>
    </row>
    <row r="44" spans="1:12" x14ac:dyDescent="0.35">
      <c r="B44" s="13"/>
      <c r="D44" s="10"/>
      <c r="F44" s="16"/>
      <c r="G44" s="26" t="s">
        <v>13</v>
      </c>
      <c r="H44" s="28">
        <f>SUM(H41:H43)</f>
        <v>55000</v>
      </c>
    </row>
    <row r="45" spans="1:12" x14ac:dyDescent="0.35">
      <c r="B45" s="13"/>
      <c r="D45" s="10"/>
    </row>
    <row r="46" spans="1:12" x14ac:dyDescent="0.35">
      <c r="B46" s="13"/>
      <c r="D46" s="9"/>
    </row>
    <row r="47" spans="1:12" x14ac:dyDescent="0.35">
      <c r="B47" s="13"/>
      <c r="D47" s="9"/>
    </row>
    <row r="48" spans="1:12" x14ac:dyDescent="0.35">
      <c r="B48" s="13"/>
      <c r="D48" s="9"/>
    </row>
    <row r="49" spans="2:9" x14ac:dyDescent="0.35">
      <c r="B49" s="13" t="s">
        <v>16</v>
      </c>
      <c r="C49" t="s">
        <v>51</v>
      </c>
      <c r="D49" s="9">
        <v>-3400</v>
      </c>
      <c r="F49" s="7"/>
    </row>
    <row r="50" spans="2:9" x14ac:dyDescent="0.35">
      <c r="B50" s="13"/>
      <c r="C50" s="13" t="s">
        <v>76</v>
      </c>
      <c r="D50" s="9">
        <v>-150</v>
      </c>
      <c r="F50" s="7"/>
    </row>
    <row r="51" spans="2:9" x14ac:dyDescent="0.35">
      <c r="B51" s="13"/>
      <c r="C51" t="s">
        <v>77</v>
      </c>
      <c r="D51" s="9">
        <v>-5100</v>
      </c>
      <c r="F51" s="9"/>
    </row>
    <row r="52" spans="2:9" x14ac:dyDescent="0.35">
      <c r="B52" s="13"/>
      <c r="C52" t="s">
        <v>78</v>
      </c>
      <c r="D52" s="9">
        <v>-3300</v>
      </c>
    </row>
    <row r="53" spans="2:9" x14ac:dyDescent="0.35">
      <c r="B53" s="13"/>
      <c r="D53" s="9">
        <f>SUM(D49:D52)</f>
        <v>-11950</v>
      </c>
    </row>
    <row r="54" spans="2:9" x14ac:dyDescent="0.35">
      <c r="B54" s="13"/>
      <c r="D54" s="9"/>
      <c r="E54">
        <v>22050</v>
      </c>
    </row>
    <row r="55" spans="2:9" x14ac:dyDescent="0.35">
      <c r="B55" s="13"/>
      <c r="D55" s="9"/>
      <c r="E55">
        <v>-11950</v>
      </c>
    </row>
    <row r="56" spans="2:9" x14ac:dyDescent="0.35">
      <c r="B56" s="13"/>
      <c r="D56" s="7"/>
      <c r="E56" s="61">
        <f>SUM(E54:E55)</f>
        <v>10100</v>
      </c>
      <c r="F56" t="s">
        <v>84</v>
      </c>
      <c r="I56" s="7"/>
    </row>
    <row r="57" spans="2:9" x14ac:dyDescent="0.35">
      <c r="D57" s="7">
        <v>11950</v>
      </c>
      <c r="I57" s="7"/>
    </row>
    <row r="58" spans="2:9" x14ac:dyDescent="0.35">
      <c r="D58" s="57">
        <v>3300</v>
      </c>
      <c r="G58" s="29" t="s">
        <v>13</v>
      </c>
      <c r="H58" s="30">
        <v>-55000</v>
      </c>
      <c r="I58" s="7"/>
    </row>
    <row r="59" spans="2:9" x14ac:dyDescent="0.35">
      <c r="D59" s="31">
        <f>SUM(D57:D58)</f>
        <v>15250</v>
      </c>
      <c r="G59" s="29" t="s">
        <v>17</v>
      </c>
      <c r="H59" s="30">
        <v>30450</v>
      </c>
    </row>
    <row r="60" spans="2:9" x14ac:dyDescent="0.35">
      <c r="G60" s="29" t="s">
        <v>18</v>
      </c>
      <c r="H60" s="30">
        <v>-11500</v>
      </c>
    </row>
    <row r="61" spans="2:9" x14ac:dyDescent="0.35">
      <c r="H61" s="27"/>
    </row>
    <row r="62" spans="2:9" x14ac:dyDescent="0.35">
      <c r="H62" s="48">
        <f>SUM(H58:H61)</f>
        <v>-36050</v>
      </c>
    </row>
  </sheetData>
  <mergeCells count="6">
    <mergeCell ref="L31:L33"/>
    <mergeCell ref="F10:K10"/>
    <mergeCell ref="G11:L12"/>
    <mergeCell ref="F13:K13"/>
    <mergeCell ref="F17:K17"/>
    <mergeCell ref="F24:K2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2025-12-23T07:15:24Z</dcterms:modified>
</cp:coreProperties>
</file>